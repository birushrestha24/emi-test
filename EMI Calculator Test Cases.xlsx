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Summary" sheetId="1" r:id="rId4"/>
    <sheet state="visible" name="1. Functional" sheetId="2" r:id="rId5"/>
    <sheet state="visible" name="2. BVA" sheetId="3" r:id="rId6"/>
    <sheet state="visible" name="3. Equivalence" sheetId="4" r:id="rId7"/>
    <sheet state="visible" name="4. Chart &amp; Table" sheetId="5" r:id="rId8"/>
    <sheet state="visible" name="5. Excel Download" sheetId="6" r:id="rId9"/>
    <sheet state="visible" name="6. Negative" sheetId="7" r:id="rId10"/>
    <sheet state="visible" name="7. UI-UX" sheetId="8" r:id="rId11"/>
    <sheet state="visible" name="8. Cross-Browser" sheetId="9" r:id="rId12"/>
  </sheets>
  <definedNames/>
  <calcPr/>
  <extLst>
    <ext uri="GoogleSheetsCustomDataVersion2">
      <go:sheetsCustomData xmlns:go="http://customooxmlschemas.google.com/" r:id="rId13" roundtripDataChecksum="f9eeDo1qs+kISNpGu3OsqU3JMnAYB5fK2D8jblKMNVs="/>
    </ext>
  </extLst>
</workbook>
</file>

<file path=xl/sharedStrings.xml><?xml version="1.0" encoding="utf-8"?>
<sst xmlns="http://schemas.openxmlformats.org/spreadsheetml/2006/main" count="798" uniqueCount="472">
  <si>
    <t>TEST CASES SUMMARY DASHBOARD</t>
  </si>
  <si>
    <t>Testing Type</t>
  </si>
  <si>
    <t>Total TCs</t>
  </si>
  <si>
    <t>Automated</t>
  </si>
  <si>
    <t>Passed</t>
  </si>
  <si>
    <t>Failed</t>
  </si>
  <si>
    <t>Functional</t>
  </si>
  <si>
    <t>Boundary Value Analysis</t>
  </si>
  <si>
    <t>Equivalence Partitioning</t>
  </si>
  <si>
    <t>Chart &amp; Table Validation</t>
  </si>
  <si>
    <t>Excel Download</t>
  </si>
  <si>
    <t>Negative / Error Handling</t>
  </si>
  <si>
    <t>UI / UX &amp; Accessibility</t>
  </si>
  <si>
    <t>Cross-Browser</t>
  </si>
  <si>
    <t>TOTAL</t>
  </si>
  <si>
    <t>Functional Testing – EMI Calculation &amp; Slider Interactions</t>
  </si>
  <si>
    <t>TC ID</t>
  </si>
  <si>
    <t>Test Title</t>
  </si>
  <si>
    <t>Precondition</t>
  </si>
  <si>
    <t>Steps / Input</t>
  </si>
  <si>
    <t>Expected Result</t>
  </si>
  <si>
    <t>Type</t>
  </si>
  <si>
    <t>Priority</t>
  </si>
  <si>
    <t>Automated?</t>
  </si>
  <si>
    <t>Result</t>
  </si>
  <si>
    <t>TC-F-001</t>
  </si>
  <si>
    <t>Default EMI on page load</t>
  </si>
  <si>
    <t>Browser open, no prior session</t>
  </si>
  <si>
    <t>Navigate to https://emicalculator.net/. Observe Loan EMI field.</t>
  </si>
  <si>
    <t>EMI shows Rs 44,986 for defaults (50L, 9%, 20yr)</t>
  </si>
  <si>
    <t>P1</t>
  </si>
  <si>
    <t>Yes</t>
  </si>
  <si>
    <t>TC-F-002</t>
  </si>
  <si>
    <t>EMI formula validation – default inputs</t>
  </si>
  <si>
    <t>Page loaded with defaults</t>
  </si>
  <si>
    <t>1. Note: Loan=Rs 50,00,000, Rate=9%, Tenure=20yr
2. Record displayed EMI</t>
  </si>
  <si>
    <t>EMI = Rs 44,986 (±Rs 1). Formula: P×r×(1+r)^n/((1+r)^n−1)</t>
  </si>
  <si>
    <t>TC-F-003</t>
  </si>
  <si>
    <t>Total Interest Payable accuracy</t>
  </si>
  <si>
    <t>Default inputs loaded</t>
  </si>
  <si>
    <t>1. Record Total Interest Payable displayed</t>
  </si>
  <si>
    <t>Total Interest = (EMI × 240) − 50,00,000 = Rs 57,96,711</t>
  </si>
  <si>
    <t>TC-F-004</t>
  </si>
  <si>
    <t>Total Payment = Principal + Interest</t>
  </si>
  <si>
    <t>1. Record Total Payment
2. Verify = Loan + Total Interest</t>
  </si>
  <si>
    <t>Total Payment = Rs 1,07,96,711</t>
  </si>
  <si>
    <t>TC-F-005</t>
  </si>
  <si>
    <t>Change Loan Amount via text input</t>
  </si>
  <si>
    <t>Page loaded</t>
  </si>
  <si>
    <t>1. Triple-click loan field
2. Type 3000000
3. Press Tab</t>
  </si>
  <si>
    <t>EMI recalculates. New EMI ≈ Rs 26,992 (3L, 9%, 20yr)</t>
  </si>
  <si>
    <t>TC-F-006</t>
  </si>
  <si>
    <t>Change Interest Rate via text input</t>
  </si>
  <si>
    <t>1. Triple-click rate field
2. Type 7.5
3. Press Tab</t>
  </si>
  <si>
    <t>EMI recalculates correctly for 7.5% rate</t>
  </si>
  <si>
    <t>TC-F-007</t>
  </si>
  <si>
    <t>Change Tenure via text input</t>
  </si>
  <si>
    <t>1. Triple-click tenure field
2. Type 15
3. Press Tab</t>
  </si>
  <si>
    <t>EMI increases vs. 20yr; total interest decreases</t>
  </si>
  <si>
    <t>TC-F-008</t>
  </si>
  <si>
    <t>Tenure toggle: Yr to Mo</t>
  </si>
  <si>
    <t>Page loaded, tenure in Yr mode</t>
  </si>
  <si>
    <t>1. Click 'Mo' button
2. Clear tenure field
3. Type 240
4. Tab out</t>
  </si>
  <si>
    <t>240 months = 20yr: same EMI ≈ Rs 44,986</t>
  </si>
  <si>
    <t>TC-F-009</t>
  </si>
  <si>
    <t>Minimum loan amount</t>
  </si>
  <si>
    <t>1. Set loan = 1,00,000 (1L)
2. Tab out</t>
  </si>
  <si>
    <t>EMI calculated correctly; no error or crash</t>
  </si>
  <si>
    <t>No</t>
  </si>
  <si>
    <t>TC-F-010</t>
  </si>
  <si>
    <t>Maximum loan amount</t>
  </si>
  <si>
    <t>1. Set loan = 2,00,00,000 (200L)
2. Tab out</t>
  </si>
  <si>
    <t>EMI calculated correctly; no overflow in display</t>
  </si>
  <si>
    <t>TC-S-001</t>
  </si>
  <si>
    <t>Loan Amount slider – drag to midpoint</t>
  </si>
  <si>
    <t>1. Identify Loan slider track
2. Drag handle to ~50% (100L)
3. Observe input field</t>
  </si>
  <si>
    <t>Input updates to ~Rs 1,00,00,000; EMI recalculates</t>
  </si>
  <si>
    <t>TC-S-002</t>
  </si>
  <si>
    <t>Interest Rate slider – drag to 12%</t>
  </si>
  <si>
    <t>Loan set to 50L, tenure 20yr</t>
  </si>
  <si>
    <t>1. Drag Rate slider to ~46.7% position (~12%)
2. Observe rate field</t>
  </si>
  <si>
    <t>Rate field updates to ~12%; EMI &gt; Rs 44,986</t>
  </si>
  <si>
    <t>TC-S-003</t>
  </si>
  <si>
    <t>Loan Tenure slider – drag to 10yr</t>
  </si>
  <si>
    <t>Loan 50L, Rate 9%</t>
  </si>
  <si>
    <t>1. Drag Tenure slider to ~33% (~10yr)
2. Observe tenure field</t>
  </si>
  <si>
    <t>Tenure updates to ~10yr; EMI higher than 20yr</t>
  </si>
  <si>
    <t>TC-S-004</t>
  </si>
  <si>
    <t>Bidirectional sync: input → slider</t>
  </si>
  <si>
    <t>1. Type 1,00,00,000 in loan field
2. Tab out
3. Observe slider position</t>
  </si>
  <si>
    <t>Slider thumb moves to ~50% of track</t>
  </si>
  <si>
    <t>P2</t>
  </si>
  <si>
    <t>TC-S-005</t>
  </si>
  <si>
    <t>Slider stops at minimum</t>
  </si>
  <si>
    <t>1. Drag Loan slider fully left</t>
  </si>
  <si>
    <t>Input shows minimum valid value; does not go negative</t>
  </si>
  <si>
    <t>TC-S-006</t>
  </si>
  <si>
    <t>Slider stops at maximum</t>
  </si>
  <si>
    <t>1. Drag Loan slider fully right</t>
  </si>
  <si>
    <t>Input shows Rs 2,00,00,000 (200L); slider at 100%</t>
  </si>
  <si>
    <t>TC-F-011</t>
  </si>
  <si>
    <t>All three slideRs  combined update</t>
  </si>
  <si>
    <t>1. Drag all 3 slideRs  to known positions
2. Compare displayed EMI to formula</t>
  </si>
  <si>
    <t>EMI matches formula within ±5% (slider tolerance)</t>
  </si>
  <si>
    <t>Boundary Value Analysis – Min / Max / Just-Outside for All Inputs</t>
  </si>
  <si>
    <t>TC-B-001</t>
  </si>
  <si>
    <t>Loan: below minimum (Rs 0)</t>
  </si>
  <si>
    <t>Enter 0 in loan amount field. Press Tab.</t>
  </si>
  <si>
    <t>Input clamped to minimum OR validation shown; EMI not Rs 0</t>
  </si>
  <si>
    <t>BVA</t>
  </si>
  <si>
    <t>TC-B-002</t>
  </si>
  <si>
    <t>Loan: exact minimum (Rs 1L)</t>
  </si>
  <si>
    <t>Enter 100000. Tab out.</t>
  </si>
  <si>
    <t>EMI calculated correctly at Rs 1L; no crash</t>
  </si>
  <si>
    <t>TC-B-003</t>
  </si>
  <si>
    <t>Loan: mid-range (Rs 50L)</t>
  </si>
  <si>
    <t>Enter 5000000. Tab out.</t>
  </si>
  <si>
    <t>EMI = Rs 44,986 at 9%, 20yr (default rate/tenure)</t>
  </si>
  <si>
    <t>TC-B-004</t>
  </si>
  <si>
    <t>Loan: maximum (Rs 200L)</t>
  </si>
  <si>
    <t>Enter 20000000. Tab out.</t>
  </si>
  <si>
    <t>EMI calculated correctly at Rs 200L</t>
  </si>
  <si>
    <t>TC-B-005</t>
  </si>
  <si>
    <t>Loan: above maximum (Rs 250L)</t>
  </si>
  <si>
    <t>Enter 25000000. Tab out.</t>
  </si>
  <si>
    <t>Input clamped to Rs 200L OR validation error shown</t>
  </si>
  <si>
    <t>TC-B-006</t>
  </si>
  <si>
    <t>Rate: minimum boundary (5%)</t>
  </si>
  <si>
    <t>Enter 5 in rate field. Tab out.</t>
  </si>
  <si>
    <t>EMI calculated at 5%; slider at leftmost stop</t>
  </si>
  <si>
    <t>TC-B-007</t>
  </si>
  <si>
    <t>Rate: just below minimum (4.99%)</t>
  </si>
  <si>
    <t>Type 4.99 in rate field. Tab out.</t>
  </si>
  <si>
    <t>Input clamped to 5% OR validation message shown</t>
  </si>
  <si>
    <t>TC-B-008</t>
  </si>
  <si>
    <t>Rate: maximum boundary (20%)</t>
  </si>
  <si>
    <t>Enter 20 in rate field. Tab out.</t>
  </si>
  <si>
    <t>EMI calculated at 20%; highest EMI for any rate</t>
  </si>
  <si>
    <t>TC-B-009</t>
  </si>
  <si>
    <t>Rate: just above maximum (20.01%)</t>
  </si>
  <si>
    <t>Type 20.01 in rate field. Tab out.</t>
  </si>
  <si>
    <t>Input clamped to 20% OR validation message shown</t>
  </si>
  <si>
    <t>TC-B-010</t>
  </si>
  <si>
    <t>Tenure: minimum (1 year)</t>
  </si>
  <si>
    <t>Set tenure = 1. Tab out.</t>
  </si>
  <si>
    <t>EMI very high (principal+interest in 12 months)</t>
  </si>
  <si>
    <t>TC-B-011</t>
  </si>
  <si>
    <t>Tenure: maximum (30 yeaRs )</t>
  </si>
  <si>
    <t>Set tenure = 30. Tab out.</t>
  </si>
  <si>
    <t>EMI lowest; total interest highest</t>
  </si>
  <si>
    <t>TC-B-012</t>
  </si>
  <si>
    <t>Tenure: just above max (31 yr)</t>
  </si>
  <si>
    <t>Type 31 in tenure field. Tab out.</t>
  </si>
  <si>
    <t>Input clamped to 30 OR validation message shown</t>
  </si>
  <si>
    <t>TC-B-013</t>
  </si>
  <si>
    <t>Rate: exact mid (12.5%)</t>
  </si>
  <si>
    <t>Enter 12.5 in rate field. Tab out.</t>
  </si>
  <si>
    <t>EMI calculated correctly for 12.5%</t>
  </si>
  <si>
    <t>TC-B-014</t>
  </si>
  <si>
    <t>All inputs at minimum</t>
  </si>
  <si>
    <t>Set Loan=1L, Rate=5%, Tenure=1yr.</t>
  </si>
  <si>
    <t>EMI = P×r×(1+r)^n/((1+r)^n−1) formula-verified</t>
  </si>
  <si>
    <t>TC-B-015</t>
  </si>
  <si>
    <t>All inputs at maximum</t>
  </si>
  <si>
    <t>Set Loan=200L, Rate=20%, Tenure=30yr.</t>
  </si>
  <si>
    <t>EMI calculated without error; no NaN or Infinity</t>
  </si>
  <si>
    <t>Equivalence Partitioning – Low / Mid / High Partitions</t>
  </si>
  <si>
    <t>TC-E-001</t>
  </si>
  <si>
    <t>Low loan partition: Rs 5L</t>
  </si>
  <si>
    <t>Set Loan=500000, Rate=8%, Tenure=5yr. Tab.</t>
  </si>
  <si>
    <t>EMI ≈ Rs 10,138; formula-verified</t>
  </si>
  <si>
    <t>EP</t>
  </si>
  <si>
    <t>TC-E-002</t>
  </si>
  <si>
    <t>Mid loan partition: Rs 50L</t>
  </si>
  <si>
    <t>Set Loan=5000000, Rate=9%, Tenure=20yr.</t>
  </si>
  <si>
    <t>EMI = Rs 44,986; standard mid-range</t>
  </si>
  <si>
    <t>TC-E-003</t>
  </si>
  <si>
    <t>High loan partition: Rs 150L</t>
  </si>
  <si>
    <t>Set Loan=15000000, Rate=10%, Tenure=25yr.</t>
  </si>
  <si>
    <t>EMI ≈ Rs 1,36,168; high-range formula valid</t>
  </si>
  <si>
    <t>TC-E-004</t>
  </si>
  <si>
    <t>Low interest rate partition (5–7%)</t>
  </si>
  <si>
    <t>Test Rate=5%, 6%, 7% at 50L/20yr each.</t>
  </si>
  <si>
    <t>EMI decreases as rate falls; all formula-verified</t>
  </si>
  <si>
    <t>TC-E-005</t>
  </si>
  <si>
    <t>Mid interest rate partition (9–12%)</t>
  </si>
  <si>
    <t>Test Rate=9%, 10%, 11%, 12% at 50L/20yr.</t>
  </si>
  <si>
    <t>EMI increases with rate; consistent results</t>
  </si>
  <si>
    <t>TC-E-006</t>
  </si>
  <si>
    <t>High interest rate partition (15–20%)</t>
  </si>
  <si>
    <t>Test Rate=15%, 17.5%, 20% at 50L/20yr.</t>
  </si>
  <si>
    <t>EMI significantly higher than mid-range</t>
  </si>
  <si>
    <t>TC-E-007</t>
  </si>
  <si>
    <t>Short tenure partition (1–5yr)</t>
  </si>
  <si>
    <t>Tenure=1, 3, 5yr at 50L/9%.</t>
  </si>
  <si>
    <t>EMI decreases as tenure grows; all verified</t>
  </si>
  <si>
    <t>TC-E-008</t>
  </si>
  <si>
    <t>Mid tenure partition (10–20yr)</t>
  </si>
  <si>
    <t>Tenure=10, 15, 20yr at 50L/9%.</t>
  </si>
  <si>
    <t>EMI decreasing trend; values formula-accurate</t>
  </si>
  <si>
    <t>TC-E-009</t>
  </si>
  <si>
    <t>Long tenure partition (25–30yr)</t>
  </si>
  <si>
    <t>Tenure=25, 28, 30yr at 50L/9%.</t>
  </si>
  <si>
    <t>Lowest EMI range; total interest dominates</t>
  </si>
  <si>
    <t>TC-E-010</t>
  </si>
  <si>
    <t>Cross-partition: low loan + high rate</t>
  </si>
  <si>
    <t>Set Loan=5L, Rate=18%, Tenure=3yr.</t>
  </si>
  <si>
    <t>EMI calculated correctly for adveRs arial combo</t>
  </si>
  <si>
    <t>Chart &amp; Table Validation – Year-wise Amortization Consistency</t>
  </si>
  <si>
    <t>TC-C-001</t>
  </si>
  <si>
    <t xml:space="preserve">Amortization table rendeRs </t>
  </si>
  <si>
    <t>Scroll to amortization section below EMI result.</t>
  </si>
  <si>
    <t>Table visible; columns: Year, Principal, Interest, Total Payment, Balance, Loan Paid %</t>
  </si>
  <si>
    <t>TC-C-002</t>
  </si>
  <si>
    <t>FiRs t year (2026) row values</t>
  </si>
  <si>
    <t>50L, 9%, 20yr set</t>
  </si>
  <si>
    <t>Read Year 2026 row from table.</t>
  </si>
  <si>
    <t>Principal≈Rs 85,508; Interest≈Rs 4,09,341; Balance≈Rs 49,14,492; Loan Paid=1.71%</t>
  </si>
  <si>
    <t>TC-C-003</t>
  </si>
  <si>
    <t>Last year row: balance = Rs 0</t>
  </si>
  <si>
    <t>Read Year 2046 (last) row from table.</t>
  </si>
  <si>
    <t>Balance = Rs 0; Loan Paid = 100%</t>
  </si>
  <si>
    <t>TC-C-004</t>
  </si>
  <si>
    <t xml:space="preserve">Row count = tenure in yeaRs </t>
  </si>
  <si>
    <t>50L, 9%, 20yr</t>
  </si>
  <si>
    <t>Count year-level rows in table.</t>
  </si>
  <si>
    <t>20 rows (one per year); ±1 for partial year</t>
  </si>
  <si>
    <t>TC-C-005</t>
  </si>
  <si>
    <t>Sum of Interest column = Total Interest</t>
  </si>
  <si>
    <t>Sum all Interest(B) column values programmatically.</t>
  </si>
  <si>
    <t>Sum ≈ Rs 57,96,711 (±Rs 500 rounding)</t>
  </si>
  <si>
    <t>TC-C-006</t>
  </si>
  <si>
    <t>Sum of Principal column = Loan Amount</t>
  </si>
  <si>
    <t>Sum all Principal(A) column values.</t>
  </si>
  <si>
    <t>Sum = Rs 50,00,000 (±Rs 500)</t>
  </si>
  <si>
    <t>TC-C-007</t>
  </si>
  <si>
    <t>Row: Total Payment = Principal + Interest</t>
  </si>
  <si>
    <t>For each row verify Total = A + B.</t>
  </si>
  <si>
    <t>All rows: |Total − (Principal + Interest)| ≤ Rs 5</t>
  </si>
  <si>
    <t>TC-C-008</t>
  </si>
  <si>
    <t>Balance decreases monotonically</t>
  </si>
  <si>
    <t>Read balance column across all rows.</t>
  </si>
  <si>
    <t>Each year's balance &lt; previous year's balance</t>
  </si>
  <si>
    <t>TC-C-009</t>
  </si>
  <si>
    <t>Loan Paid % increases monotonically</t>
  </si>
  <si>
    <t>Read Loan Paid % column.</t>
  </si>
  <si>
    <t>% strictly increases each row; final = 100%</t>
  </si>
  <si>
    <t>TC-C-010</t>
  </si>
  <si>
    <t>Table updates on input change</t>
  </si>
  <si>
    <t>Default inputs, table loaded</t>
  </si>
  <si>
    <t>Change rate to 12%. Scroll to table.</t>
  </si>
  <si>
    <t>Table recalculates with new values</t>
  </si>
  <si>
    <t>TC-C-011</t>
  </si>
  <si>
    <t>Pie chart visible and rendered</t>
  </si>
  <si>
    <t>Default inputs</t>
  </si>
  <si>
    <t>Observe pie chart in summary panel.</t>
  </si>
  <si>
    <t>Pie chart canvas rendered; two segments visible</t>
  </si>
  <si>
    <t>TC-C-012</t>
  </si>
  <si>
    <t>Pie chart: Principal% + Interest% = 100%</t>
  </si>
  <si>
    <t>Read pie chart percentages.</t>
  </si>
  <si>
    <t>53.7% + 46.3% = 100% (or equivalent for current inputs)</t>
  </si>
  <si>
    <t>TC-C-013</t>
  </si>
  <si>
    <t>Bar chart rendeRs  with data</t>
  </si>
  <si>
    <t>Scroll to bar/amortization chart.</t>
  </si>
  <si>
    <t>Chart shows baRs  for each year with Principal, Interest, and Balance line</t>
  </si>
  <si>
    <t>TC-C-014</t>
  </si>
  <si>
    <t>Expand row shows monthly breakdown</t>
  </si>
  <si>
    <t>Click expand (+) on Year 2026 row.</t>
  </si>
  <si>
    <t>Monthly rows appear: Jan–Dec with individual EMI breakdown</t>
  </si>
  <si>
    <t>P3</t>
  </si>
  <si>
    <t>TC-C-015</t>
  </si>
  <si>
    <t>Pie chart updates on rate change</t>
  </si>
  <si>
    <t>Change rate to 15%. Observe pie chart.</t>
  </si>
  <si>
    <t>Interest% increases; Principal% decreases; total = 100%</t>
  </si>
  <si>
    <t>Excel Download – File Existence, Size, and Data Integrity Checks</t>
  </si>
  <si>
    <t>TC-X-001</t>
  </si>
  <si>
    <t>Download button is visible</t>
  </si>
  <si>
    <t>Scroll to find Excel/Download button.</t>
  </si>
  <si>
    <t>Download button visible and enabled</t>
  </si>
  <si>
    <t>Download</t>
  </si>
  <si>
    <t>TC-X-002</t>
  </si>
  <si>
    <t>Click triggeRs  browser download</t>
  </si>
  <si>
    <t>1. Click Download/Excel button
2. Wait for download event.</t>
  </si>
  <si>
    <t>Browser download dialog appeaRs  OR file downloads automatically</t>
  </si>
  <si>
    <t>TC-X-003</t>
  </si>
  <si>
    <t>Downloaded file is not empty</t>
  </si>
  <si>
    <t>File downloaded</t>
  </si>
  <si>
    <t>1. Check downloaded file size.</t>
  </si>
  <si>
    <t>File size &gt; 1KB (not empty, not corrupt)</t>
  </si>
  <si>
    <t>TC-X-004</t>
  </si>
  <si>
    <t>File has .xls / .xlsx extension</t>
  </si>
  <si>
    <t>1. Check file extension.</t>
  </si>
  <si>
    <t>Extension is .xls, .xlsx, or .csv</t>
  </si>
  <si>
    <t>TC-X-005</t>
  </si>
  <si>
    <t>File name contains relevant keywords</t>
  </si>
  <si>
    <t>1. Read suggested filename.</t>
  </si>
  <si>
    <t>Name contains 'emi', 'loan', 'amortization', or 'schedule'</t>
  </si>
  <si>
    <t>TC-X-006</t>
  </si>
  <si>
    <t>Correct column headeRs  in Excel</t>
  </si>
  <si>
    <t>Open downloaded file</t>
  </si>
  <si>
    <t>1. Open file
2. Read row 1 headeRs .</t>
  </si>
  <si>
    <t>Columns: Year, Principal, Interest, Total Payment, Balance, Loan Paid %</t>
  </si>
  <si>
    <t>TC-X-007</t>
  </si>
  <si>
    <t>FiRs t year data row matches on-screen</t>
  </si>
  <si>
    <t>1. Compare Excel row 2 values vs. on-screen table Year 1.</t>
  </si>
  <si>
    <t>Values match ± rounding (Principal, Interest, Balance identical)</t>
  </si>
  <si>
    <t>TC-X-008</t>
  </si>
  <si>
    <t>Last year row: Balance = 0</t>
  </si>
  <si>
    <t>1. Read last data row.</t>
  </si>
  <si>
    <t>Balance column = 0; Loan Paid = 100%</t>
  </si>
  <si>
    <t>TC-X-009</t>
  </si>
  <si>
    <t>Row count matches tenure</t>
  </si>
  <si>
    <t>Open downloaded file; Tenure=20yr</t>
  </si>
  <si>
    <t>1. Count data rows (excluding header).</t>
  </si>
  <si>
    <t>20 rows for 20yr tenure</t>
  </si>
  <si>
    <t>TC-X-010</t>
  </si>
  <si>
    <t>Download works after input change</t>
  </si>
  <si>
    <t>Set Loan=30L, Rate=8%, Tenure=15yr</t>
  </si>
  <si>
    <t>1. Change inputs
2. Click download.</t>
  </si>
  <si>
    <t>File downloads successfully; reflects 15yr amortization (15 rows)</t>
  </si>
  <si>
    <t>Negative &amp; Error Handling – Invalid Inputs and Edge Cases</t>
  </si>
  <si>
    <t>TC-N-001</t>
  </si>
  <si>
    <t>Non-numeric loan amount</t>
  </si>
  <si>
    <t>1. Triple-click loan field
2. Type 'abcdef'
3. Press Tab</t>
  </si>
  <si>
    <t>Input rejected; field reverts to last valid value or 0; EMI not NaN</t>
  </si>
  <si>
    <t>Negative</t>
  </si>
  <si>
    <t>TC-N-002</t>
  </si>
  <si>
    <t>Negative loan amount</t>
  </si>
  <si>
    <t>1. Type -5000000 in loan
2. Tab out</t>
  </si>
  <si>
    <t>Input clamped to minimum; EMI never shows negative value</t>
  </si>
  <si>
    <t>TC-N-003</t>
  </si>
  <si>
    <t>Zero interest rate</t>
  </si>
  <si>
    <t>1. Type 0 in rate field
2. Tab out</t>
  </si>
  <si>
    <t>App resets to 5% minimum OR shows validation; no NaN/Infinity</t>
  </si>
  <si>
    <t>TC-N-004</t>
  </si>
  <si>
    <t>Zero tenure</t>
  </si>
  <si>
    <t>1. Type 0 in tenure field
2. Tab out</t>
  </si>
  <si>
    <t>App resets to minimum OR shows validation; no divide-by-zero</t>
  </si>
  <si>
    <t>TC-N-005</t>
  </si>
  <si>
    <t>Special characteRs  in loan</t>
  </si>
  <si>
    <t>1. Type '@#$%&amp;*' in loan field
2. Tab out</t>
  </si>
  <si>
    <t>CharacteRs  rejected; no crash; EMI unchanged from last valid</t>
  </si>
  <si>
    <t>TC-N-006</t>
  </si>
  <si>
    <t>Special characteRs  in rate</t>
  </si>
  <si>
    <t>1. Type '@#$%' in rate field
2. Tab out</t>
  </si>
  <si>
    <t>CharacteRs  rejected; rate reverts to last valid value</t>
  </si>
  <si>
    <t>TC-N-007</t>
  </si>
  <si>
    <t>Paste invalid text in loan</t>
  </si>
  <si>
    <t>1. Copy 'hello world'
2. Ctrl+V in loan field
3. Tab out</t>
  </si>
  <si>
    <t>Invalid paste rejected; no crash; no NaN displayed</t>
  </si>
  <si>
    <t>TC-N-008</t>
  </si>
  <si>
    <t>Very large decimal rate (19.9999%)</t>
  </si>
  <si>
    <t>1. Enter 19.9999 in rate
2. Tab out</t>
  </si>
  <si>
    <t>EMI rounds correctly; no display anomaly</t>
  </si>
  <si>
    <t>TC-N-009</t>
  </si>
  <si>
    <t>No JavaScript erroRs  on page load</t>
  </si>
  <si>
    <t>Fresh browser session</t>
  </si>
  <si>
    <t xml:space="preserve">1. Open DevTools Console
2. Navigate to page
3. Observe erroRs </t>
  </si>
  <si>
    <t>Zero JS erroRs  in console on load</t>
  </si>
  <si>
    <t>TC-N-010</t>
  </si>
  <si>
    <t>Extremely small tenure (0.5yr)</t>
  </si>
  <si>
    <t>1. Enter 0.5 in tenure field
2. Tab out</t>
  </si>
  <si>
    <t>App rounds to 1yr OR shows validation; no crash</t>
  </si>
  <si>
    <t>UI / UX, Accessibility &amp; Performance Testing</t>
  </si>
  <si>
    <t>TC-U-001</t>
  </si>
  <si>
    <t>Page load &lt; 3 seconds</t>
  </si>
  <si>
    <t>Empty browser cache</t>
  </si>
  <si>
    <t>1. Hard-reload page (Ctrl+Shift+R)
2. Measure time to interactive</t>
  </si>
  <si>
    <t>Page interactive in &lt; 3 seconds on standard connection</t>
  </si>
  <si>
    <t>Performance</t>
  </si>
  <si>
    <t>TC-U-002</t>
  </si>
  <si>
    <t>EMI recalculation &lt; 500ms</t>
  </si>
  <si>
    <t>1. Change any input
2. Measure until EMI updates</t>
  </si>
  <si>
    <t>EMI updates within 500ms of input change</t>
  </si>
  <si>
    <t>TC-U-003</t>
  </si>
  <si>
    <t>Slider labels visible</t>
  </si>
  <si>
    <t>1. Inspect slider tick labels (0, 25L, 50L...)</t>
  </si>
  <si>
    <t>All tick marks and labels visible; no clipping or overflow</t>
  </si>
  <si>
    <t>UI/UX</t>
  </si>
  <si>
    <t>TC-U-004</t>
  </si>
  <si>
    <t>Rs  symbol rendeRs  correctly</t>
  </si>
  <si>
    <t xml:space="preserve">Page loaded – all browseRs </t>
  </si>
  <si>
    <t>Observe Rupee symbol in EMI, interest, payment fields.</t>
  </si>
  <si>
    <t>Rs  rendeRs  on Chrome, Firefox, Edge, Safari</t>
  </si>
  <si>
    <t>TC-U-005</t>
  </si>
  <si>
    <t>Indian number format (comma separatoRs )</t>
  </si>
  <si>
    <t>Observe EMI value formatting.</t>
  </si>
  <si>
    <t>NumbeRs  use Indian format: Rs 44,986 and Rs 1,07,96,711</t>
  </si>
  <si>
    <t>TC-U-006</t>
  </si>
  <si>
    <t>Keyboard Tab navigation</t>
  </si>
  <si>
    <t>1. Press Tab from address bar
2. Tab through all controls</t>
  </si>
  <si>
    <t>All inputs, slideRs , buttons reachable via keyboard in logical order</t>
  </si>
  <si>
    <t>Accessibility</t>
  </si>
  <si>
    <t>TC-U-007</t>
  </si>
  <si>
    <t>Home Loan tab is default active</t>
  </si>
  <si>
    <t>Observe which tab is selected on load.</t>
  </si>
  <si>
    <t>'Home Loan' tab is active/highlighted on load</t>
  </si>
  <si>
    <t>TC-U-008</t>
  </si>
  <si>
    <t>Mobile layout – 375px viewport</t>
  </si>
  <si>
    <t>DevTools mobile emulation</t>
  </si>
  <si>
    <t>1. Set viewport 375×812
2. Inspect layout</t>
  </si>
  <si>
    <t>No horizontal scroll; inputs usable; slideRs  functional on touch</t>
  </si>
  <si>
    <t>TC-U-009</t>
  </si>
  <si>
    <t>Tablet layout – 768px viewport</t>
  </si>
  <si>
    <t>DevTools tablet emulation</t>
  </si>
  <si>
    <t>1. Set viewport 768×1024
2. Inspect layout</t>
  </si>
  <si>
    <t>Layout adapts; chart and table without overflow</t>
  </si>
  <si>
    <t>TC-U-010</t>
  </si>
  <si>
    <t>Colour contrast ratio ≥ 4.5:1</t>
  </si>
  <si>
    <t>Browser with axe-core DevTools</t>
  </si>
  <si>
    <t>1. Run axe-core accessibility check
2. Review contrast failures</t>
  </si>
  <si>
    <t>No contrast violations for normal text (WCAG 2.1 AA)</t>
  </si>
  <si>
    <t>TC-U-011</t>
  </si>
  <si>
    <t>ARIA labels on interactive elements</t>
  </si>
  <si>
    <t>Inspect DOM</t>
  </si>
  <si>
    <t>1. Inspect slideRs , inputs, buttons for aria-label</t>
  </si>
  <si>
    <t>All interactive elements have descriptive aria-label or title</t>
  </si>
  <si>
    <t>TC-U-012</t>
  </si>
  <si>
    <t>No layout break on font zoom 200%</t>
  </si>
  <si>
    <t>Browser zoom at 200%</t>
  </si>
  <si>
    <t>1. Set browser zoom to 200%
2. Check layout</t>
  </si>
  <si>
    <t>No overlapping or clipped elements at 200% zoom</t>
  </si>
  <si>
    <t>Cross-Browser &amp; Cross-Device Compatibility Testing</t>
  </si>
  <si>
    <t>TC-CR-001</t>
  </si>
  <si>
    <t>Chrome – EMI calculation smoke</t>
  </si>
  <si>
    <t>Chrome 124+ Desktop</t>
  </si>
  <si>
    <t>Run TC-F-002 on Chrome: 50L, 9%, 20yr.</t>
  </si>
  <si>
    <t xml:space="preserve">EMI = Rs 44,986; UI rendeRs  correctly; no console erroRs </t>
  </si>
  <si>
    <t>TC-CR-002</t>
  </si>
  <si>
    <t>Firefox – EMI calculation smoke</t>
  </si>
  <si>
    <t>Firefox 125+ Desktop</t>
  </si>
  <si>
    <t>Run TC-F-002 on Firefox.</t>
  </si>
  <si>
    <t>EMI correct; Indian number format with commas present</t>
  </si>
  <si>
    <t>TC-CR-003</t>
  </si>
  <si>
    <t>Edge – EMI calculation smoke</t>
  </si>
  <si>
    <t>Edge 124+ Desktop</t>
  </si>
  <si>
    <t>Run TC-F-002 on Edge.</t>
  </si>
  <si>
    <t>EMI correct; chart rendeRs ; no anomaly</t>
  </si>
  <si>
    <t>TC-CR-004</t>
  </si>
  <si>
    <t>Safari – EMI calculation smoke</t>
  </si>
  <si>
    <t>Safari 17+ macOS</t>
  </si>
  <si>
    <t>Run TC-F-002 on Safari.</t>
  </si>
  <si>
    <t>EMI correct; no JS error in console</t>
  </si>
  <si>
    <t>TC-CR-005</t>
  </si>
  <si>
    <t>Chrome – slider drag interaction</t>
  </si>
  <si>
    <t>Chrome Desktop</t>
  </si>
  <si>
    <t>Run TC-S-001 on Chrome.</t>
  </si>
  <si>
    <t>Slider drag updates input and recalculates EMI</t>
  </si>
  <si>
    <t>TC-CR-006</t>
  </si>
  <si>
    <t>Firefox – slider drag interaction</t>
  </si>
  <si>
    <t>Firefox Desktop</t>
  </si>
  <si>
    <t>Run TC-S-001 on Firefox.</t>
  </si>
  <si>
    <t>Slider drag behaves identically to Chrome</t>
  </si>
  <si>
    <t>TC-CR-007</t>
  </si>
  <si>
    <t>Mobile Chrome – touch slider</t>
  </si>
  <si>
    <t>Android Chrome, 375px</t>
  </si>
  <si>
    <t>1. Touch-drag loan slider on mobile</t>
  </si>
  <si>
    <t>Slider responds to touch; EMI recalculates</t>
  </si>
  <si>
    <t>TC-CR-008</t>
  </si>
  <si>
    <t>Mobile Safari – touch slider</t>
  </si>
  <si>
    <t>iOS Safari 17+</t>
  </si>
  <si>
    <t>1. Touch-drag loan slider on iOS</t>
  </si>
  <si>
    <t>Slider responds; no sticky/frozen behavior</t>
  </si>
  <si>
    <t>TC-CR-009</t>
  </si>
  <si>
    <t>Mobile Chrome – table scrolls horizontally</t>
  </si>
  <si>
    <t>Scroll to amortization table.</t>
  </si>
  <si>
    <t>Table horizontally scrollable on mobile; no text cutoff</t>
  </si>
  <si>
    <t>TC-CR-010</t>
  </si>
  <si>
    <t>Safari – chart tooltip on hover</t>
  </si>
  <si>
    <t>Safari 17+</t>
  </si>
  <si>
    <t>Hover over bar chart bar.</t>
  </si>
  <si>
    <t>Tooltip appeaRs  correctly (known bug: fails on fiRs t hover)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</si>
</sst>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000000"/>
      <name val="Times New Roman"/>
    </font>
    <font/>
    <font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0.0"/>
      <color rgb="FF000000"/>
      <name val="Times New Roman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left" readingOrder="0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0" fillId="2" fontId="6" numFmtId="0" xfId="0" applyFont="1"/>
    <xf borderId="0" fillId="2" fontId="4" numFmtId="164" xfId="0" applyAlignment="1" applyFont="1" applyNumberFormat="1">
      <alignment horizontal="center" shrinkToFit="0" vertical="center" wrapText="1"/>
    </xf>
    <xf borderId="5" fillId="3" fontId="4" numFmtId="0" xfId="0" applyAlignment="1" applyBorder="1" applyFill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ont="1">
      <alignment horizontal="center" shrinkToFit="0" vertical="top" wrapText="1"/>
    </xf>
    <xf borderId="8" fillId="2" fontId="5" numFmtId="0" xfId="0" applyAlignment="1" applyBorder="1" applyFont="1">
      <alignment horizontal="left" shrinkToFit="0" vertical="top" wrapText="1"/>
    </xf>
    <xf borderId="8" fillId="2" fontId="5" numFmtId="0" xfId="0" applyAlignment="1" applyBorder="1" applyFont="1">
      <alignment horizontal="left" readingOrder="0" shrinkToFit="0" vertical="top" wrapText="1"/>
    </xf>
    <xf borderId="8" fillId="2" fontId="4" numFmtId="0" xfId="0" applyAlignment="1" applyBorder="1" applyFont="1">
      <alignment horizontal="center" shrinkToFit="0" vertical="top" wrapText="1"/>
    </xf>
    <xf borderId="8" fillId="2" fontId="5" numFmtId="0" xfId="0" applyAlignment="1" applyBorder="1" applyFont="1">
      <alignment horizontal="center" shrinkToFit="0" vertical="top" wrapText="1"/>
    </xf>
    <xf borderId="0" fillId="2" fontId="7" numFmtId="0" xfId="0" applyFont="1"/>
    <xf borderId="5" fillId="3" fontId="4" numFmtId="0" xfId="0" applyAlignment="1" applyBorder="1" applyFont="1">
      <alignment horizontal="left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8" fillId="2" fontId="5" numFmtId="0" xfId="0" applyAlignment="1" applyBorder="1" applyFont="1">
      <alignment horizontal="left" readingOrder="0" shrinkToFit="0" vertical="center" wrapText="1"/>
    </xf>
    <xf borderId="8" fillId="2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4.0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 t="s">
        <v>6</v>
      </c>
      <c r="B3" s="7">
        <v>17.0</v>
      </c>
      <c r="C3" s="8">
        <v>0.0</v>
      </c>
      <c r="D3" s="8">
        <v>0.0</v>
      </c>
      <c r="E3" s="7">
        <v>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9" t="s">
        <v>7</v>
      </c>
      <c r="B4" s="7">
        <v>15.0</v>
      </c>
      <c r="C4" s="8">
        <v>0.0</v>
      </c>
      <c r="D4" s="8">
        <v>0.0</v>
      </c>
      <c r="E4" s="7">
        <v>0.0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9" t="s">
        <v>8</v>
      </c>
      <c r="B5" s="7">
        <v>10.0</v>
      </c>
      <c r="C5" s="8">
        <v>0.0</v>
      </c>
      <c r="D5" s="8">
        <v>0.0</v>
      </c>
      <c r="E5" s="7">
        <v>0.0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9" t="s">
        <v>9</v>
      </c>
      <c r="B6" s="7">
        <v>15.0</v>
      </c>
      <c r="C6" s="8">
        <v>0.0</v>
      </c>
      <c r="D6" s="8">
        <v>0.0</v>
      </c>
      <c r="E6" s="7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9" t="s">
        <v>10</v>
      </c>
      <c r="B7" s="7">
        <v>10.0</v>
      </c>
      <c r="C7" s="8">
        <v>0.0</v>
      </c>
      <c r="D7" s="8">
        <v>0.0</v>
      </c>
      <c r="E7" s="7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9" t="s">
        <v>11</v>
      </c>
      <c r="B8" s="7">
        <v>10.0</v>
      </c>
      <c r="C8" s="8">
        <v>0.0</v>
      </c>
      <c r="D8" s="8">
        <v>0.0</v>
      </c>
      <c r="E8" s="7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9" t="s">
        <v>12</v>
      </c>
      <c r="B9" s="7">
        <v>12.0</v>
      </c>
      <c r="C9" s="8">
        <v>0.0</v>
      </c>
      <c r="D9" s="8">
        <v>0.0</v>
      </c>
      <c r="E9" s="7">
        <v>0.0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9" t="s">
        <v>13</v>
      </c>
      <c r="B10" s="7">
        <v>10.0</v>
      </c>
      <c r="C10" s="8">
        <v>0.0</v>
      </c>
      <c r="D10" s="8">
        <v>0.0</v>
      </c>
      <c r="E10" s="7">
        <v>0.0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5" t="s">
        <v>14</v>
      </c>
      <c r="B11" s="5">
        <f t="shared" ref="B11:D11" si="1">SUM(B3:B10)</f>
        <v>99</v>
      </c>
      <c r="C11" s="5">
        <f t="shared" si="1"/>
        <v>0</v>
      </c>
      <c r="D11" s="7">
        <f t="shared" si="1"/>
        <v>0</v>
      </c>
      <c r="E11" s="7">
        <v>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4"/>
      <c r="C12" s="4"/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29"/>
    <col customWidth="1" min="2" max="2" width="36.0"/>
    <col customWidth="1" min="3" max="3" width="25.43"/>
    <col customWidth="1" min="4" max="4" width="42.0"/>
    <col customWidth="1" min="5" max="5" width="38.0"/>
    <col customWidth="1" min="6" max="6" width="14.0"/>
    <col customWidth="1" min="7" max="7" width="18.71"/>
    <col customWidth="1" hidden="1" min="8" max="8" width="26.14"/>
    <col customWidth="1" min="9" max="9" width="17.29"/>
    <col customWidth="1" min="10" max="26" width="8.71"/>
  </cols>
  <sheetData>
    <row r="1" ht="21.75" customHeight="1">
      <c r="A1" s="12" t="s">
        <v>15</v>
      </c>
      <c r="B1" s="13"/>
      <c r="C1" s="13"/>
      <c r="D1" s="13"/>
      <c r="E1" s="13"/>
      <c r="F1" s="13"/>
      <c r="G1" s="13"/>
      <c r="H1" s="13"/>
      <c r="I1" s="14"/>
    </row>
    <row r="2" ht="36.0" customHeight="1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5" t="s">
        <v>24</v>
      </c>
    </row>
    <row r="3" ht="31.5" customHeight="1">
      <c r="A3" s="16" t="s">
        <v>25</v>
      </c>
      <c r="B3" s="16" t="s">
        <v>26</v>
      </c>
      <c r="C3" s="16" t="s">
        <v>27</v>
      </c>
      <c r="D3" s="16" t="s">
        <v>28</v>
      </c>
      <c r="E3" s="17" t="s">
        <v>29</v>
      </c>
      <c r="F3" s="16" t="s">
        <v>6</v>
      </c>
      <c r="G3" s="18" t="s">
        <v>30</v>
      </c>
      <c r="H3" s="18" t="s">
        <v>31</v>
      </c>
      <c r="I3" s="18"/>
    </row>
    <row r="4" ht="44.25" customHeight="1">
      <c r="A4" s="16" t="s">
        <v>32</v>
      </c>
      <c r="B4" s="16" t="s">
        <v>33</v>
      </c>
      <c r="C4" s="16" t="s">
        <v>34</v>
      </c>
      <c r="D4" s="17" t="s">
        <v>35</v>
      </c>
      <c r="E4" s="17" t="s">
        <v>36</v>
      </c>
      <c r="F4" s="16" t="s">
        <v>6</v>
      </c>
      <c r="G4" s="18" t="s">
        <v>30</v>
      </c>
      <c r="H4" s="18" t="s">
        <v>31</v>
      </c>
      <c r="I4" s="18"/>
    </row>
    <row r="5" ht="31.5" customHeight="1">
      <c r="A5" s="16" t="s">
        <v>37</v>
      </c>
      <c r="B5" s="16" t="s">
        <v>38</v>
      </c>
      <c r="C5" s="16" t="s">
        <v>39</v>
      </c>
      <c r="D5" s="16" t="s">
        <v>40</v>
      </c>
      <c r="E5" s="17" t="s">
        <v>41</v>
      </c>
      <c r="F5" s="16" t="s">
        <v>6</v>
      </c>
      <c r="G5" s="18" t="s">
        <v>30</v>
      </c>
      <c r="H5" s="18" t="s">
        <v>31</v>
      </c>
      <c r="I5" s="18"/>
    </row>
    <row r="6" ht="31.5" customHeight="1">
      <c r="A6" s="16" t="s">
        <v>42</v>
      </c>
      <c r="B6" s="16" t="s">
        <v>43</v>
      </c>
      <c r="C6" s="16" t="s">
        <v>39</v>
      </c>
      <c r="D6" s="16" t="s">
        <v>44</v>
      </c>
      <c r="E6" s="17" t="s">
        <v>45</v>
      </c>
      <c r="F6" s="16" t="s">
        <v>6</v>
      </c>
      <c r="G6" s="18" t="s">
        <v>30</v>
      </c>
      <c r="H6" s="18" t="s">
        <v>31</v>
      </c>
      <c r="I6" s="18"/>
    </row>
    <row r="7" ht="45.0" customHeight="1">
      <c r="A7" s="16" t="s">
        <v>46</v>
      </c>
      <c r="B7" s="16" t="s">
        <v>47</v>
      </c>
      <c r="C7" s="16" t="s">
        <v>48</v>
      </c>
      <c r="D7" s="16" t="s">
        <v>49</v>
      </c>
      <c r="E7" s="17" t="s">
        <v>50</v>
      </c>
      <c r="F7" s="16" t="s">
        <v>6</v>
      </c>
      <c r="G7" s="18" t="s">
        <v>30</v>
      </c>
      <c r="H7" s="18" t="s">
        <v>31</v>
      </c>
      <c r="I7" s="18"/>
    </row>
    <row r="8" ht="44.25" customHeight="1">
      <c r="A8" s="16" t="s">
        <v>51</v>
      </c>
      <c r="B8" s="16" t="s">
        <v>52</v>
      </c>
      <c r="C8" s="16" t="s">
        <v>48</v>
      </c>
      <c r="D8" s="16" t="s">
        <v>53</v>
      </c>
      <c r="E8" s="16" t="s">
        <v>54</v>
      </c>
      <c r="F8" s="16" t="s">
        <v>6</v>
      </c>
      <c r="G8" s="18" t="s">
        <v>30</v>
      </c>
      <c r="H8" s="18" t="s">
        <v>31</v>
      </c>
      <c r="I8" s="18"/>
    </row>
    <row r="9" ht="45.75" customHeight="1">
      <c r="A9" s="16" t="s">
        <v>55</v>
      </c>
      <c r="B9" s="16" t="s">
        <v>56</v>
      </c>
      <c r="C9" s="16" t="s">
        <v>48</v>
      </c>
      <c r="D9" s="16" t="s">
        <v>57</v>
      </c>
      <c r="E9" s="16" t="s">
        <v>58</v>
      </c>
      <c r="F9" s="16" t="s">
        <v>6</v>
      </c>
      <c r="G9" s="18" t="s">
        <v>30</v>
      </c>
      <c r="H9" s="18" t="s">
        <v>31</v>
      </c>
      <c r="I9" s="18"/>
    </row>
    <row r="10" ht="64.5" customHeight="1">
      <c r="A10" s="16" t="s">
        <v>59</v>
      </c>
      <c r="B10" s="16" t="s">
        <v>60</v>
      </c>
      <c r="C10" s="16" t="s">
        <v>61</v>
      </c>
      <c r="D10" s="16" t="s">
        <v>62</v>
      </c>
      <c r="E10" s="17" t="s">
        <v>63</v>
      </c>
      <c r="F10" s="16" t="s">
        <v>6</v>
      </c>
      <c r="G10" s="18" t="s">
        <v>30</v>
      </c>
      <c r="H10" s="18" t="s">
        <v>31</v>
      </c>
      <c r="I10" s="18"/>
    </row>
    <row r="11" ht="31.5" customHeight="1">
      <c r="A11" s="16" t="s">
        <v>64</v>
      </c>
      <c r="B11" s="16" t="s">
        <v>65</v>
      </c>
      <c r="C11" s="16" t="s">
        <v>48</v>
      </c>
      <c r="D11" s="16" t="s">
        <v>66</v>
      </c>
      <c r="E11" s="16" t="s">
        <v>67</v>
      </c>
      <c r="F11" s="16" t="s">
        <v>6</v>
      </c>
      <c r="G11" s="18" t="s">
        <v>30</v>
      </c>
      <c r="H11" s="19" t="s">
        <v>68</v>
      </c>
      <c r="I11" s="18"/>
    </row>
    <row r="12" ht="31.5" customHeight="1">
      <c r="A12" s="16" t="s">
        <v>69</v>
      </c>
      <c r="B12" s="16" t="s">
        <v>70</v>
      </c>
      <c r="C12" s="16" t="s">
        <v>48</v>
      </c>
      <c r="D12" s="16" t="s">
        <v>71</v>
      </c>
      <c r="E12" s="16" t="s">
        <v>72</v>
      </c>
      <c r="F12" s="16" t="s">
        <v>6</v>
      </c>
      <c r="G12" s="18" t="s">
        <v>30</v>
      </c>
      <c r="H12" s="19" t="s">
        <v>68</v>
      </c>
      <c r="I12" s="18"/>
    </row>
    <row r="13" ht="52.5" customHeight="1">
      <c r="A13" s="16" t="s">
        <v>73</v>
      </c>
      <c r="B13" s="16" t="s">
        <v>74</v>
      </c>
      <c r="C13" s="16" t="s">
        <v>48</v>
      </c>
      <c r="D13" s="16" t="s">
        <v>75</v>
      </c>
      <c r="E13" s="17" t="s">
        <v>76</v>
      </c>
      <c r="F13" s="16" t="s">
        <v>6</v>
      </c>
      <c r="G13" s="18" t="s">
        <v>30</v>
      </c>
      <c r="H13" s="18" t="s">
        <v>31</v>
      </c>
      <c r="I13" s="18"/>
    </row>
    <row r="14" ht="31.5" customHeight="1">
      <c r="A14" s="16" t="s">
        <v>77</v>
      </c>
      <c r="B14" s="16" t="s">
        <v>78</v>
      </c>
      <c r="C14" s="16" t="s">
        <v>79</v>
      </c>
      <c r="D14" s="16" t="s">
        <v>80</v>
      </c>
      <c r="E14" s="17" t="s">
        <v>81</v>
      </c>
      <c r="F14" s="16" t="s">
        <v>6</v>
      </c>
      <c r="G14" s="18" t="s">
        <v>30</v>
      </c>
      <c r="H14" s="18" t="s">
        <v>31</v>
      </c>
      <c r="I14" s="18"/>
    </row>
    <row r="15" ht="31.5" customHeight="1">
      <c r="A15" s="16" t="s">
        <v>82</v>
      </c>
      <c r="B15" s="16" t="s">
        <v>83</v>
      </c>
      <c r="C15" s="16" t="s">
        <v>84</v>
      </c>
      <c r="D15" s="16" t="s">
        <v>85</v>
      </c>
      <c r="E15" s="16" t="s">
        <v>86</v>
      </c>
      <c r="F15" s="16" t="s">
        <v>6</v>
      </c>
      <c r="G15" s="18" t="s">
        <v>30</v>
      </c>
      <c r="H15" s="18" t="s">
        <v>31</v>
      </c>
      <c r="I15" s="18"/>
    </row>
    <row r="16" ht="57.75" customHeight="1">
      <c r="A16" s="16" t="s">
        <v>87</v>
      </c>
      <c r="B16" s="16" t="s">
        <v>88</v>
      </c>
      <c r="C16" s="16" t="s">
        <v>48</v>
      </c>
      <c r="D16" s="16" t="s">
        <v>89</v>
      </c>
      <c r="E16" s="16" t="s">
        <v>90</v>
      </c>
      <c r="F16" s="16" t="s">
        <v>6</v>
      </c>
      <c r="G16" s="18" t="s">
        <v>91</v>
      </c>
      <c r="H16" s="18" t="s">
        <v>31</v>
      </c>
      <c r="I16" s="18"/>
    </row>
    <row r="17" ht="31.5" customHeight="1">
      <c r="A17" s="16" t="s">
        <v>92</v>
      </c>
      <c r="B17" s="16" t="s">
        <v>93</v>
      </c>
      <c r="C17" s="16" t="s">
        <v>48</v>
      </c>
      <c r="D17" s="16" t="s">
        <v>94</v>
      </c>
      <c r="E17" s="16" t="s">
        <v>95</v>
      </c>
      <c r="F17" s="16" t="s">
        <v>6</v>
      </c>
      <c r="G17" s="18" t="s">
        <v>91</v>
      </c>
      <c r="H17" s="19" t="s">
        <v>68</v>
      </c>
      <c r="I17" s="18"/>
    </row>
    <row r="18" ht="31.5" customHeight="1">
      <c r="A18" s="16" t="s">
        <v>96</v>
      </c>
      <c r="B18" s="16" t="s">
        <v>97</v>
      </c>
      <c r="C18" s="16" t="s">
        <v>48</v>
      </c>
      <c r="D18" s="16" t="s">
        <v>98</v>
      </c>
      <c r="E18" s="17" t="s">
        <v>99</v>
      </c>
      <c r="F18" s="16" t="s">
        <v>6</v>
      </c>
      <c r="G18" s="18" t="s">
        <v>91</v>
      </c>
      <c r="H18" s="19" t="s">
        <v>68</v>
      </c>
      <c r="I18" s="18"/>
    </row>
    <row r="19" ht="31.5" customHeight="1">
      <c r="A19" s="16" t="s">
        <v>100</v>
      </c>
      <c r="B19" s="17" t="s">
        <v>101</v>
      </c>
      <c r="C19" s="16" t="s">
        <v>48</v>
      </c>
      <c r="D19" s="17" t="s">
        <v>102</v>
      </c>
      <c r="E19" s="16" t="s">
        <v>103</v>
      </c>
      <c r="F19" s="16" t="s">
        <v>6</v>
      </c>
      <c r="G19" s="18" t="s">
        <v>30</v>
      </c>
      <c r="H19" s="18" t="s">
        <v>31</v>
      </c>
      <c r="I19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dataValidations>
    <dataValidation type="list" allowBlank="1" showErrorMessage="1" sqref="I3:I19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2.0"/>
    <col customWidth="1" min="4" max="4" width="42.0"/>
    <col customWidth="1" min="5" max="5" width="38.0"/>
    <col customWidth="1" min="6" max="6" width="14.0"/>
    <col customWidth="1" min="7" max="7" width="9.0"/>
    <col customWidth="1" min="8" max="8" width="20.29"/>
    <col customWidth="1" min="9" max="25" width="8.71"/>
  </cols>
  <sheetData>
    <row r="1" ht="21.75" customHeight="1">
      <c r="A1" s="12" t="s">
        <v>104</v>
      </c>
      <c r="B1" s="13"/>
      <c r="C1" s="13"/>
      <c r="D1" s="13"/>
      <c r="E1" s="13"/>
      <c r="F1" s="13"/>
      <c r="G1" s="13"/>
      <c r="H1" s="14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ht="36.0" customHeight="1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24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34.5" customHeight="1">
      <c r="A3" s="16" t="s">
        <v>105</v>
      </c>
      <c r="B3" s="17" t="s">
        <v>106</v>
      </c>
      <c r="C3" s="16" t="s">
        <v>48</v>
      </c>
      <c r="D3" s="16" t="s">
        <v>107</v>
      </c>
      <c r="E3" s="17" t="s">
        <v>108</v>
      </c>
      <c r="F3" s="16" t="s">
        <v>109</v>
      </c>
      <c r="G3" s="18" t="s">
        <v>30</v>
      </c>
      <c r="H3" s="18"/>
    </row>
    <row r="4" ht="39.75" customHeight="1">
      <c r="A4" s="16" t="s">
        <v>110</v>
      </c>
      <c r="B4" s="17" t="s">
        <v>111</v>
      </c>
      <c r="C4" s="16" t="s">
        <v>48</v>
      </c>
      <c r="D4" s="16" t="s">
        <v>112</v>
      </c>
      <c r="E4" s="17" t="s">
        <v>113</v>
      </c>
      <c r="F4" s="16" t="s">
        <v>109</v>
      </c>
      <c r="G4" s="18" t="s">
        <v>30</v>
      </c>
      <c r="H4" s="18"/>
    </row>
    <row r="5" ht="39.75" customHeight="1">
      <c r="A5" s="16" t="s">
        <v>114</v>
      </c>
      <c r="B5" s="17" t="s">
        <v>115</v>
      </c>
      <c r="C5" s="16" t="s">
        <v>48</v>
      </c>
      <c r="D5" s="16" t="s">
        <v>116</v>
      </c>
      <c r="E5" s="17" t="s">
        <v>117</v>
      </c>
      <c r="F5" s="16" t="s">
        <v>109</v>
      </c>
      <c r="G5" s="18" t="s">
        <v>30</v>
      </c>
      <c r="H5" s="18"/>
    </row>
    <row r="6" ht="39.75" customHeight="1">
      <c r="A6" s="16" t="s">
        <v>118</v>
      </c>
      <c r="B6" s="17" t="s">
        <v>119</v>
      </c>
      <c r="C6" s="16" t="s">
        <v>48</v>
      </c>
      <c r="D6" s="16" t="s">
        <v>120</v>
      </c>
      <c r="E6" s="17" t="s">
        <v>121</v>
      </c>
      <c r="F6" s="16" t="s">
        <v>109</v>
      </c>
      <c r="G6" s="18" t="s">
        <v>30</v>
      </c>
      <c r="H6" s="18"/>
    </row>
    <row r="7" ht="39.75" customHeight="1">
      <c r="A7" s="16" t="s">
        <v>122</v>
      </c>
      <c r="B7" s="17" t="s">
        <v>123</v>
      </c>
      <c r="C7" s="16" t="s">
        <v>48</v>
      </c>
      <c r="D7" s="16" t="s">
        <v>124</v>
      </c>
      <c r="E7" s="17" t="s">
        <v>125</v>
      </c>
      <c r="F7" s="16" t="s">
        <v>109</v>
      </c>
      <c r="G7" s="18" t="s">
        <v>30</v>
      </c>
      <c r="H7" s="18"/>
    </row>
    <row r="8" ht="39.75" customHeight="1">
      <c r="A8" s="16" t="s">
        <v>126</v>
      </c>
      <c r="B8" s="16" t="s">
        <v>127</v>
      </c>
      <c r="C8" s="16" t="s">
        <v>48</v>
      </c>
      <c r="D8" s="16" t="s">
        <v>128</v>
      </c>
      <c r="E8" s="16" t="s">
        <v>129</v>
      </c>
      <c r="F8" s="16" t="s">
        <v>109</v>
      </c>
      <c r="G8" s="18" t="s">
        <v>30</v>
      </c>
      <c r="H8" s="18"/>
    </row>
    <row r="9" ht="39.75" customHeight="1">
      <c r="A9" s="16" t="s">
        <v>130</v>
      </c>
      <c r="B9" s="16" t="s">
        <v>131</v>
      </c>
      <c r="C9" s="16" t="s">
        <v>48</v>
      </c>
      <c r="D9" s="16" t="s">
        <v>132</v>
      </c>
      <c r="E9" s="16" t="s">
        <v>133</v>
      </c>
      <c r="F9" s="16" t="s">
        <v>109</v>
      </c>
      <c r="G9" s="18" t="s">
        <v>30</v>
      </c>
      <c r="H9" s="18"/>
    </row>
    <row r="10" ht="39.75" customHeight="1">
      <c r="A10" s="16" t="s">
        <v>134</v>
      </c>
      <c r="B10" s="16" t="s">
        <v>135</v>
      </c>
      <c r="C10" s="16" t="s">
        <v>48</v>
      </c>
      <c r="D10" s="16" t="s">
        <v>136</v>
      </c>
      <c r="E10" s="16" t="s">
        <v>137</v>
      </c>
      <c r="F10" s="16" t="s">
        <v>109</v>
      </c>
      <c r="G10" s="18" t="s">
        <v>30</v>
      </c>
      <c r="H10" s="18"/>
    </row>
    <row r="11" ht="39.75" customHeight="1">
      <c r="A11" s="16" t="s">
        <v>138</v>
      </c>
      <c r="B11" s="16" t="s">
        <v>139</v>
      </c>
      <c r="C11" s="16" t="s">
        <v>48</v>
      </c>
      <c r="D11" s="16" t="s">
        <v>140</v>
      </c>
      <c r="E11" s="16" t="s">
        <v>141</v>
      </c>
      <c r="F11" s="16" t="s">
        <v>109</v>
      </c>
      <c r="G11" s="18" t="s">
        <v>91</v>
      </c>
      <c r="H11" s="18"/>
    </row>
    <row r="12" ht="39.75" customHeight="1">
      <c r="A12" s="16" t="s">
        <v>142</v>
      </c>
      <c r="B12" s="16" t="s">
        <v>143</v>
      </c>
      <c r="C12" s="16" t="s">
        <v>48</v>
      </c>
      <c r="D12" s="16" t="s">
        <v>144</v>
      </c>
      <c r="E12" s="16" t="s">
        <v>145</v>
      </c>
      <c r="F12" s="16" t="s">
        <v>109</v>
      </c>
      <c r="G12" s="18" t="s">
        <v>30</v>
      </c>
      <c r="H12" s="18"/>
    </row>
    <row r="13" ht="39.75" customHeight="1">
      <c r="A13" s="16" t="s">
        <v>146</v>
      </c>
      <c r="B13" s="17" t="s">
        <v>147</v>
      </c>
      <c r="C13" s="16" t="s">
        <v>48</v>
      </c>
      <c r="D13" s="16" t="s">
        <v>148</v>
      </c>
      <c r="E13" s="16" t="s">
        <v>149</v>
      </c>
      <c r="F13" s="16" t="s">
        <v>109</v>
      </c>
      <c r="G13" s="18" t="s">
        <v>30</v>
      </c>
      <c r="H13" s="18"/>
    </row>
    <row r="14" ht="39.75" customHeight="1">
      <c r="A14" s="16" t="s">
        <v>150</v>
      </c>
      <c r="B14" s="16" t="s">
        <v>151</v>
      </c>
      <c r="C14" s="16" t="s">
        <v>48</v>
      </c>
      <c r="D14" s="16" t="s">
        <v>152</v>
      </c>
      <c r="E14" s="16" t="s">
        <v>153</v>
      </c>
      <c r="F14" s="16" t="s">
        <v>109</v>
      </c>
      <c r="G14" s="18" t="s">
        <v>91</v>
      </c>
      <c r="H14" s="18"/>
    </row>
    <row r="15" ht="39.75" customHeight="1">
      <c r="A15" s="16" t="s">
        <v>154</v>
      </c>
      <c r="B15" s="16" t="s">
        <v>155</v>
      </c>
      <c r="C15" s="16" t="s">
        <v>48</v>
      </c>
      <c r="D15" s="16" t="s">
        <v>156</v>
      </c>
      <c r="E15" s="16" t="s">
        <v>157</v>
      </c>
      <c r="F15" s="16" t="s">
        <v>109</v>
      </c>
      <c r="G15" s="18" t="s">
        <v>91</v>
      </c>
      <c r="H15" s="18"/>
    </row>
    <row r="16" ht="39.75" customHeight="1">
      <c r="A16" s="16" t="s">
        <v>158</v>
      </c>
      <c r="B16" s="16" t="s">
        <v>159</v>
      </c>
      <c r="C16" s="16" t="s">
        <v>48</v>
      </c>
      <c r="D16" s="16" t="s">
        <v>160</v>
      </c>
      <c r="E16" s="16" t="s">
        <v>161</v>
      </c>
      <c r="F16" s="16" t="s">
        <v>109</v>
      </c>
      <c r="G16" s="18" t="s">
        <v>30</v>
      </c>
      <c r="H16" s="18"/>
    </row>
    <row r="17" ht="39.75" customHeight="1">
      <c r="A17" s="16" t="s">
        <v>162</v>
      </c>
      <c r="B17" s="16" t="s">
        <v>163</v>
      </c>
      <c r="C17" s="16" t="s">
        <v>48</v>
      </c>
      <c r="D17" s="16" t="s">
        <v>164</v>
      </c>
      <c r="E17" s="16" t="s">
        <v>165</v>
      </c>
      <c r="F17" s="16" t="s">
        <v>109</v>
      </c>
      <c r="G17" s="18" t="s">
        <v>30</v>
      </c>
      <c r="H17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H3:H17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2.0"/>
    <col customWidth="1" min="4" max="4" width="42.0"/>
    <col customWidth="1" min="5" max="5" width="38.0"/>
    <col customWidth="1" min="6" max="6" width="14.0"/>
    <col customWidth="1" min="7" max="7" width="9.0"/>
    <col customWidth="1" min="8" max="8" width="15.57"/>
    <col customWidth="1" min="9" max="25" width="8.71"/>
  </cols>
  <sheetData>
    <row r="1" ht="21.75" customHeight="1">
      <c r="A1" s="12" t="s">
        <v>166</v>
      </c>
      <c r="B1" s="13"/>
      <c r="C1" s="13"/>
      <c r="D1" s="13"/>
      <c r="E1" s="13"/>
      <c r="F1" s="13"/>
      <c r="G1" s="13"/>
      <c r="H1" s="14"/>
    </row>
    <row r="2" ht="36.0" customHeight="1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24</v>
      </c>
    </row>
    <row r="3" ht="44.25" customHeight="1">
      <c r="A3" s="16" t="s">
        <v>167</v>
      </c>
      <c r="B3" s="17" t="s">
        <v>168</v>
      </c>
      <c r="C3" s="16" t="s">
        <v>48</v>
      </c>
      <c r="D3" s="16" t="s">
        <v>169</v>
      </c>
      <c r="E3" s="17" t="s">
        <v>170</v>
      </c>
      <c r="F3" s="16" t="s">
        <v>171</v>
      </c>
      <c r="G3" s="18" t="s">
        <v>91</v>
      </c>
      <c r="H3" s="18"/>
    </row>
    <row r="4" ht="44.25" customHeight="1">
      <c r="A4" s="16" t="s">
        <v>172</v>
      </c>
      <c r="B4" s="17" t="s">
        <v>173</v>
      </c>
      <c r="C4" s="16" t="s">
        <v>48</v>
      </c>
      <c r="D4" s="16" t="s">
        <v>174</v>
      </c>
      <c r="E4" s="17" t="s">
        <v>175</v>
      </c>
      <c r="F4" s="16" t="s">
        <v>171</v>
      </c>
      <c r="G4" s="18" t="s">
        <v>91</v>
      </c>
      <c r="H4" s="18"/>
    </row>
    <row r="5" ht="44.25" customHeight="1">
      <c r="A5" s="16" t="s">
        <v>176</v>
      </c>
      <c r="B5" s="17" t="s">
        <v>177</v>
      </c>
      <c r="C5" s="16" t="s">
        <v>48</v>
      </c>
      <c r="D5" s="16" t="s">
        <v>178</v>
      </c>
      <c r="E5" s="17" t="s">
        <v>179</v>
      </c>
      <c r="F5" s="16" t="s">
        <v>171</v>
      </c>
      <c r="G5" s="18" t="s">
        <v>91</v>
      </c>
      <c r="H5" s="18"/>
    </row>
    <row r="6" ht="44.25" customHeight="1">
      <c r="A6" s="16" t="s">
        <v>180</v>
      </c>
      <c r="B6" s="16" t="s">
        <v>181</v>
      </c>
      <c r="C6" s="16" t="s">
        <v>48</v>
      </c>
      <c r="D6" s="16" t="s">
        <v>182</v>
      </c>
      <c r="E6" s="16" t="s">
        <v>183</v>
      </c>
      <c r="F6" s="16" t="s">
        <v>171</v>
      </c>
      <c r="G6" s="18" t="s">
        <v>91</v>
      </c>
      <c r="H6" s="18"/>
    </row>
    <row r="7" ht="44.25" customHeight="1">
      <c r="A7" s="16" t="s">
        <v>184</v>
      </c>
      <c r="B7" s="16" t="s">
        <v>185</v>
      </c>
      <c r="C7" s="16" t="s">
        <v>48</v>
      </c>
      <c r="D7" s="16" t="s">
        <v>186</v>
      </c>
      <c r="E7" s="16" t="s">
        <v>187</v>
      </c>
      <c r="F7" s="16" t="s">
        <v>171</v>
      </c>
      <c r="G7" s="18" t="s">
        <v>91</v>
      </c>
      <c r="H7" s="18"/>
    </row>
    <row r="8" ht="44.25" customHeight="1">
      <c r="A8" s="16" t="s">
        <v>188</v>
      </c>
      <c r="B8" s="16" t="s">
        <v>189</v>
      </c>
      <c r="C8" s="16" t="s">
        <v>48</v>
      </c>
      <c r="D8" s="16" t="s">
        <v>190</v>
      </c>
      <c r="E8" s="16" t="s">
        <v>191</v>
      </c>
      <c r="F8" s="16" t="s">
        <v>171</v>
      </c>
      <c r="G8" s="18" t="s">
        <v>91</v>
      </c>
      <c r="H8" s="18"/>
    </row>
    <row r="9" ht="44.25" customHeight="1">
      <c r="A9" s="16" t="s">
        <v>192</v>
      </c>
      <c r="B9" s="16" t="s">
        <v>193</v>
      </c>
      <c r="C9" s="16" t="s">
        <v>48</v>
      </c>
      <c r="D9" s="16" t="s">
        <v>194</v>
      </c>
      <c r="E9" s="16" t="s">
        <v>195</v>
      </c>
      <c r="F9" s="16" t="s">
        <v>171</v>
      </c>
      <c r="G9" s="18" t="s">
        <v>91</v>
      </c>
      <c r="H9" s="18"/>
    </row>
    <row r="10" ht="44.25" customHeight="1">
      <c r="A10" s="16" t="s">
        <v>196</v>
      </c>
      <c r="B10" s="16" t="s">
        <v>197</v>
      </c>
      <c r="C10" s="16" t="s">
        <v>48</v>
      </c>
      <c r="D10" s="16" t="s">
        <v>198</v>
      </c>
      <c r="E10" s="16" t="s">
        <v>199</v>
      </c>
      <c r="F10" s="16" t="s">
        <v>171</v>
      </c>
      <c r="G10" s="18" t="s">
        <v>91</v>
      </c>
      <c r="H10" s="18"/>
    </row>
    <row r="11" ht="44.25" customHeight="1">
      <c r="A11" s="16" t="s">
        <v>200</v>
      </c>
      <c r="B11" s="16" t="s">
        <v>201</v>
      </c>
      <c r="C11" s="16" t="s">
        <v>48</v>
      </c>
      <c r="D11" s="16" t="s">
        <v>202</v>
      </c>
      <c r="E11" s="16" t="s">
        <v>203</v>
      </c>
      <c r="F11" s="16" t="s">
        <v>171</v>
      </c>
      <c r="G11" s="18" t="s">
        <v>91</v>
      </c>
      <c r="H11" s="18"/>
    </row>
    <row r="12" ht="44.25" customHeight="1">
      <c r="A12" s="16" t="s">
        <v>204</v>
      </c>
      <c r="B12" s="16" t="s">
        <v>205</v>
      </c>
      <c r="C12" s="16" t="s">
        <v>48</v>
      </c>
      <c r="D12" s="16" t="s">
        <v>206</v>
      </c>
      <c r="E12" s="17" t="s">
        <v>207</v>
      </c>
      <c r="F12" s="16" t="s">
        <v>171</v>
      </c>
      <c r="G12" s="18" t="s">
        <v>91</v>
      </c>
      <c r="H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H3:H12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2.0"/>
    <col customWidth="1" min="4" max="4" width="42.0"/>
    <col customWidth="1" min="5" max="5" width="44.29"/>
    <col customWidth="1" min="6" max="6" width="14.0"/>
    <col customWidth="1" min="7" max="7" width="12.71"/>
    <col customWidth="1" min="8" max="8" width="19.0"/>
    <col customWidth="1" min="9" max="25" width="8.71"/>
  </cols>
  <sheetData>
    <row r="1" ht="21.75" customHeight="1">
      <c r="A1" s="12" t="s">
        <v>208</v>
      </c>
      <c r="B1" s="13"/>
      <c r="C1" s="13"/>
      <c r="D1" s="13"/>
      <c r="E1" s="13"/>
      <c r="F1" s="13"/>
      <c r="G1" s="13"/>
      <c r="H1" s="14"/>
    </row>
    <row r="2" ht="36.0" customHeight="1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24</v>
      </c>
    </row>
    <row r="3" ht="39.0" customHeight="1">
      <c r="A3" s="16" t="s">
        <v>209</v>
      </c>
      <c r="B3" s="17" t="s">
        <v>210</v>
      </c>
      <c r="C3" s="16" t="s">
        <v>39</v>
      </c>
      <c r="D3" s="16" t="s">
        <v>211</v>
      </c>
      <c r="E3" s="16" t="s">
        <v>212</v>
      </c>
      <c r="F3" s="16" t="s">
        <v>6</v>
      </c>
      <c r="G3" s="18" t="s">
        <v>30</v>
      </c>
      <c r="H3" s="18"/>
    </row>
    <row r="4" ht="39.0" customHeight="1">
      <c r="A4" s="16" t="s">
        <v>213</v>
      </c>
      <c r="B4" s="17" t="s">
        <v>214</v>
      </c>
      <c r="C4" s="16" t="s">
        <v>215</v>
      </c>
      <c r="D4" s="16" t="s">
        <v>216</v>
      </c>
      <c r="E4" s="17" t="s">
        <v>217</v>
      </c>
      <c r="F4" s="16" t="s">
        <v>6</v>
      </c>
      <c r="G4" s="18" t="s">
        <v>30</v>
      </c>
      <c r="H4" s="18"/>
    </row>
    <row r="5" ht="39.0" customHeight="1">
      <c r="A5" s="16" t="s">
        <v>218</v>
      </c>
      <c r="B5" s="17" t="s">
        <v>219</v>
      </c>
      <c r="C5" s="16" t="s">
        <v>215</v>
      </c>
      <c r="D5" s="16" t="s">
        <v>220</v>
      </c>
      <c r="E5" s="17" t="s">
        <v>221</v>
      </c>
      <c r="F5" s="16" t="s">
        <v>6</v>
      </c>
      <c r="G5" s="18" t="s">
        <v>30</v>
      </c>
      <c r="H5" s="18"/>
    </row>
    <row r="6" ht="39.0" customHeight="1">
      <c r="A6" s="16" t="s">
        <v>222</v>
      </c>
      <c r="B6" s="17" t="s">
        <v>223</v>
      </c>
      <c r="C6" s="16" t="s">
        <v>224</v>
      </c>
      <c r="D6" s="16" t="s">
        <v>225</v>
      </c>
      <c r="E6" s="16" t="s">
        <v>226</v>
      </c>
      <c r="F6" s="16" t="s">
        <v>6</v>
      </c>
      <c r="G6" s="18" t="s">
        <v>30</v>
      </c>
      <c r="H6" s="18"/>
    </row>
    <row r="7" ht="39.0" customHeight="1">
      <c r="A7" s="16" t="s">
        <v>227</v>
      </c>
      <c r="B7" s="16" t="s">
        <v>228</v>
      </c>
      <c r="C7" s="16" t="s">
        <v>224</v>
      </c>
      <c r="D7" s="16" t="s">
        <v>229</v>
      </c>
      <c r="E7" s="17" t="s">
        <v>230</v>
      </c>
      <c r="F7" s="16" t="s">
        <v>6</v>
      </c>
      <c r="G7" s="18" t="s">
        <v>30</v>
      </c>
      <c r="H7" s="18"/>
    </row>
    <row r="8" ht="39.0" customHeight="1">
      <c r="A8" s="16" t="s">
        <v>231</v>
      </c>
      <c r="B8" s="16" t="s">
        <v>232</v>
      </c>
      <c r="C8" s="16" t="s">
        <v>224</v>
      </c>
      <c r="D8" s="16" t="s">
        <v>233</v>
      </c>
      <c r="E8" s="17" t="s">
        <v>234</v>
      </c>
      <c r="F8" s="16" t="s">
        <v>6</v>
      </c>
      <c r="G8" s="18" t="s">
        <v>30</v>
      </c>
      <c r="H8" s="18"/>
    </row>
    <row r="9" ht="39.0" customHeight="1">
      <c r="A9" s="16" t="s">
        <v>235</v>
      </c>
      <c r="B9" s="16" t="s">
        <v>236</v>
      </c>
      <c r="C9" s="16" t="s">
        <v>224</v>
      </c>
      <c r="D9" s="16" t="s">
        <v>237</v>
      </c>
      <c r="E9" s="17" t="s">
        <v>238</v>
      </c>
      <c r="F9" s="16" t="s">
        <v>6</v>
      </c>
      <c r="G9" s="18" t="s">
        <v>30</v>
      </c>
      <c r="H9" s="18"/>
    </row>
    <row r="10" ht="39.0" customHeight="1">
      <c r="A10" s="16" t="s">
        <v>239</v>
      </c>
      <c r="B10" s="16" t="s">
        <v>240</v>
      </c>
      <c r="C10" s="16" t="s">
        <v>224</v>
      </c>
      <c r="D10" s="16" t="s">
        <v>241</v>
      </c>
      <c r="E10" s="16" t="s">
        <v>242</v>
      </c>
      <c r="F10" s="16" t="s">
        <v>6</v>
      </c>
      <c r="G10" s="18" t="s">
        <v>30</v>
      </c>
      <c r="H10" s="18"/>
    </row>
    <row r="11" ht="39.0" customHeight="1">
      <c r="A11" s="16" t="s">
        <v>243</v>
      </c>
      <c r="B11" s="16" t="s">
        <v>244</v>
      </c>
      <c r="C11" s="16" t="s">
        <v>224</v>
      </c>
      <c r="D11" s="16" t="s">
        <v>245</v>
      </c>
      <c r="E11" s="16" t="s">
        <v>246</v>
      </c>
      <c r="F11" s="16" t="s">
        <v>6</v>
      </c>
      <c r="G11" s="18" t="s">
        <v>30</v>
      </c>
      <c r="H11" s="18"/>
    </row>
    <row r="12" ht="39.0" customHeight="1">
      <c r="A12" s="16" t="s">
        <v>247</v>
      </c>
      <c r="B12" s="16" t="s">
        <v>248</v>
      </c>
      <c r="C12" s="16" t="s">
        <v>249</v>
      </c>
      <c r="D12" s="16" t="s">
        <v>250</v>
      </c>
      <c r="E12" s="16" t="s">
        <v>251</v>
      </c>
      <c r="F12" s="16" t="s">
        <v>6</v>
      </c>
      <c r="G12" s="18" t="s">
        <v>30</v>
      </c>
      <c r="H12" s="18"/>
    </row>
    <row r="13" ht="39.0" customHeight="1">
      <c r="A13" s="16" t="s">
        <v>252</v>
      </c>
      <c r="B13" s="16" t="s">
        <v>253</v>
      </c>
      <c r="C13" s="16" t="s">
        <v>254</v>
      </c>
      <c r="D13" s="16" t="s">
        <v>255</v>
      </c>
      <c r="E13" s="16" t="s">
        <v>256</v>
      </c>
      <c r="F13" s="16" t="s">
        <v>6</v>
      </c>
      <c r="G13" s="18" t="s">
        <v>30</v>
      </c>
      <c r="H13" s="18"/>
    </row>
    <row r="14" ht="39.0" customHeight="1">
      <c r="A14" s="16" t="s">
        <v>257</v>
      </c>
      <c r="B14" s="16" t="s">
        <v>258</v>
      </c>
      <c r="C14" s="16" t="s">
        <v>254</v>
      </c>
      <c r="D14" s="16" t="s">
        <v>259</v>
      </c>
      <c r="E14" s="16" t="s">
        <v>260</v>
      </c>
      <c r="F14" s="16" t="s">
        <v>6</v>
      </c>
      <c r="G14" s="18" t="s">
        <v>30</v>
      </c>
      <c r="H14" s="18"/>
    </row>
    <row r="15" ht="39.0" customHeight="1">
      <c r="A15" s="16" t="s">
        <v>261</v>
      </c>
      <c r="B15" s="17" t="s">
        <v>262</v>
      </c>
      <c r="C15" s="16" t="s">
        <v>254</v>
      </c>
      <c r="D15" s="16" t="s">
        <v>263</v>
      </c>
      <c r="E15" s="17" t="s">
        <v>264</v>
      </c>
      <c r="F15" s="16" t="s">
        <v>6</v>
      </c>
      <c r="G15" s="18" t="s">
        <v>30</v>
      </c>
      <c r="H15" s="18"/>
    </row>
    <row r="16" ht="39.0" customHeight="1">
      <c r="A16" s="16" t="s">
        <v>265</v>
      </c>
      <c r="B16" s="16" t="s">
        <v>266</v>
      </c>
      <c r="C16" s="16" t="s">
        <v>224</v>
      </c>
      <c r="D16" s="16" t="s">
        <v>267</v>
      </c>
      <c r="E16" s="16" t="s">
        <v>268</v>
      </c>
      <c r="F16" s="16" t="s">
        <v>6</v>
      </c>
      <c r="G16" s="18" t="s">
        <v>269</v>
      </c>
      <c r="H16" s="18"/>
    </row>
    <row r="17" ht="39.0" customHeight="1">
      <c r="A17" s="16" t="s">
        <v>270</v>
      </c>
      <c r="B17" s="16" t="s">
        <v>271</v>
      </c>
      <c r="C17" s="16" t="s">
        <v>254</v>
      </c>
      <c r="D17" s="16" t="s">
        <v>272</v>
      </c>
      <c r="E17" s="16" t="s">
        <v>273</v>
      </c>
      <c r="F17" s="16" t="s">
        <v>6</v>
      </c>
      <c r="G17" s="18" t="s">
        <v>91</v>
      </c>
      <c r="H17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H3:H17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2.0"/>
    <col customWidth="1" min="4" max="4" width="42.0"/>
    <col customWidth="1" min="5" max="5" width="38.0"/>
    <col customWidth="1" min="6" max="6" width="14.0"/>
    <col customWidth="1" min="7" max="7" width="9.0"/>
    <col customWidth="1" min="8" max="8" width="20.43"/>
    <col customWidth="1" min="9" max="25" width="8.71"/>
  </cols>
  <sheetData>
    <row r="1" ht="21.75" customHeight="1">
      <c r="A1" s="12" t="s">
        <v>274</v>
      </c>
      <c r="B1" s="13"/>
      <c r="C1" s="13"/>
      <c r="D1" s="13"/>
      <c r="E1" s="13"/>
      <c r="F1" s="13"/>
      <c r="G1" s="13"/>
      <c r="H1" s="14"/>
    </row>
    <row r="2" ht="36.0" customHeight="1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24</v>
      </c>
    </row>
    <row r="3" ht="44.25" customHeight="1">
      <c r="A3" s="16" t="s">
        <v>275</v>
      </c>
      <c r="B3" s="16" t="s">
        <v>276</v>
      </c>
      <c r="C3" s="16" t="s">
        <v>39</v>
      </c>
      <c r="D3" s="16" t="s">
        <v>277</v>
      </c>
      <c r="E3" s="16" t="s">
        <v>278</v>
      </c>
      <c r="F3" s="16" t="s">
        <v>279</v>
      </c>
      <c r="G3" s="18" t="s">
        <v>30</v>
      </c>
      <c r="H3" s="18"/>
    </row>
    <row r="4" ht="44.25" customHeight="1">
      <c r="A4" s="16" t="s">
        <v>280</v>
      </c>
      <c r="B4" s="17" t="s">
        <v>281</v>
      </c>
      <c r="C4" s="16" t="s">
        <v>39</v>
      </c>
      <c r="D4" s="16" t="s">
        <v>282</v>
      </c>
      <c r="E4" s="17" t="s">
        <v>283</v>
      </c>
      <c r="F4" s="16" t="s">
        <v>279</v>
      </c>
      <c r="G4" s="18" t="s">
        <v>30</v>
      </c>
      <c r="H4" s="18"/>
    </row>
    <row r="5" ht="44.25" customHeight="1">
      <c r="A5" s="16" t="s">
        <v>284</v>
      </c>
      <c r="B5" s="16" t="s">
        <v>285</v>
      </c>
      <c r="C5" s="16" t="s">
        <v>286</v>
      </c>
      <c r="D5" s="16" t="s">
        <v>287</v>
      </c>
      <c r="E5" s="16" t="s">
        <v>288</v>
      </c>
      <c r="F5" s="16" t="s">
        <v>279</v>
      </c>
      <c r="G5" s="18" t="s">
        <v>30</v>
      </c>
      <c r="H5" s="18"/>
    </row>
    <row r="6" ht="44.25" customHeight="1">
      <c r="A6" s="16" t="s">
        <v>289</v>
      </c>
      <c r="B6" s="16" t="s">
        <v>290</v>
      </c>
      <c r="C6" s="16" t="s">
        <v>286</v>
      </c>
      <c r="D6" s="16" t="s">
        <v>291</v>
      </c>
      <c r="E6" s="16" t="s">
        <v>292</v>
      </c>
      <c r="F6" s="16" t="s">
        <v>279</v>
      </c>
      <c r="G6" s="18" t="s">
        <v>30</v>
      </c>
      <c r="H6" s="18"/>
    </row>
    <row r="7" ht="44.25" customHeight="1">
      <c r="A7" s="16" t="s">
        <v>293</v>
      </c>
      <c r="B7" s="16" t="s">
        <v>294</v>
      </c>
      <c r="C7" s="16" t="s">
        <v>286</v>
      </c>
      <c r="D7" s="16" t="s">
        <v>295</v>
      </c>
      <c r="E7" s="16" t="s">
        <v>296</v>
      </c>
      <c r="F7" s="16" t="s">
        <v>279</v>
      </c>
      <c r="G7" s="18" t="s">
        <v>91</v>
      </c>
      <c r="H7" s="18"/>
    </row>
    <row r="8" ht="44.25" customHeight="1">
      <c r="A8" s="16" t="s">
        <v>297</v>
      </c>
      <c r="B8" s="17" t="s">
        <v>298</v>
      </c>
      <c r="C8" s="16" t="s">
        <v>299</v>
      </c>
      <c r="D8" s="17" t="s">
        <v>300</v>
      </c>
      <c r="E8" s="16" t="s">
        <v>301</v>
      </c>
      <c r="F8" s="16" t="s">
        <v>279</v>
      </c>
      <c r="G8" s="18" t="s">
        <v>30</v>
      </c>
      <c r="H8" s="18"/>
    </row>
    <row r="9" ht="44.25" customHeight="1">
      <c r="A9" s="16" t="s">
        <v>302</v>
      </c>
      <c r="B9" s="17" t="s">
        <v>303</v>
      </c>
      <c r="C9" s="16" t="s">
        <v>299</v>
      </c>
      <c r="D9" s="16" t="s">
        <v>304</v>
      </c>
      <c r="E9" s="16" t="s">
        <v>305</v>
      </c>
      <c r="F9" s="16" t="s">
        <v>279</v>
      </c>
      <c r="G9" s="18" t="s">
        <v>30</v>
      </c>
      <c r="H9" s="18"/>
    </row>
    <row r="10" ht="44.25" customHeight="1">
      <c r="A10" s="16" t="s">
        <v>306</v>
      </c>
      <c r="B10" s="16" t="s">
        <v>307</v>
      </c>
      <c r="C10" s="16" t="s">
        <v>299</v>
      </c>
      <c r="D10" s="16" t="s">
        <v>308</v>
      </c>
      <c r="E10" s="16" t="s">
        <v>309</v>
      </c>
      <c r="F10" s="16" t="s">
        <v>279</v>
      </c>
      <c r="G10" s="18" t="s">
        <v>30</v>
      </c>
      <c r="H10" s="18"/>
    </row>
    <row r="11" ht="44.25" customHeight="1">
      <c r="A11" s="16" t="s">
        <v>310</v>
      </c>
      <c r="B11" s="16" t="s">
        <v>311</v>
      </c>
      <c r="C11" s="16" t="s">
        <v>312</v>
      </c>
      <c r="D11" s="16" t="s">
        <v>313</v>
      </c>
      <c r="E11" s="16" t="s">
        <v>314</v>
      </c>
      <c r="F11" s="16" t="s">
        <v>279</v>
      </c>
      <c r="G11" s="18" t="s">
        <v>91</v>
      </c>
      <c r="H11" s="18"/>
    </row>
    <row r="12" ht="44.25" customHeight="1">
      <c r="A12" s="16" t="s">
        <v>315</v>
      </c>
      <c r="B12" s="16" t="s">
        <v>316</v>
      </c>
      <c r="C12" s="16" t="s">
        <v>317</v>
      </c>
      <c r="D12" s="16" t="s">
        <v>318</v>
      </c>
      <c r="E12" s="16" t="s">
        <v>319</v>
      </c>
      <c r="F12" s="16" t="s">
        <v>279</v>
      </c>
      <c r="G12" s="18" t="s">
        <v>91</v>
      </c>
      <c r="H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H3:H12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2.0"/>
    <col customWidth="1" min="4" max="4" width="42.0"/>
    <col customWidth="1" min="5" max="5" width="38.0"/>
    <col customWidth="1" min="6" max="6" width="14.0"/>
    <col customWidth="1" min="7" max="7" width="9.0"/>
    <col customWidth="1" min="8" max="8" width="15.86"/>
    <col customWidth="1" min="9" max="25" width="8.71"/>
  </cols>
  <sheetData>
    <row r="1" ht="21.75" customHeight="1">
      <c r="A1" s="12" t="s">
        <v>320</v>
      </c>
      <c r="B1" s="13"/>
      <c r="C1" s="13"/>
      <c r="D1" s="13"/>
      <c r="E1" s="13"/>
      <c r="F1" s="13"/>
      <c r="G1" s="13"/>
      <c r="H1" s="14"/>
    </row>
    <row r="2" ht="36.0" customHeight="1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24</v>
      </c>
    </row>
    <row r="3" ht="49.5" customHeight="1">
      <c r="A3" s="16" t="s">
        <v>321</v>
      </c>
      <c r="B3" s="16" t="s">
        <v>322</v>
      </c>
      <c r="C3" s="16" t="s">
        <v>48</v>
      </c>
      <c r="D3" s="16" t="s">
        <v>323</v>
      </c>
      <c r="E3" s="16" t="s">
        <v>324</v>
      </c>
      <c r="F3" s="16" t="s">
        <v>325</v>
      </c>
      <c r="G3" s="18" t="s">
        <v>30</v>
      </c>
      <c r="H3" s="18"/>
    </row>
    <row r="4" ht="49.5" customHeight="1">
      <c r="A4" s="16" t="s">
        <v>326</v>
      </c>
      <c r="B4" s="16" t="s">
        <v>327</v>
      </c>
      <c r="C4" s="16" t="s">
        <v>48</v>
      </c>
      <c r="D4" s="16" t="s">
        <v>328</v>
      </c>
      <c r="E4" s="16" t="s">
        <v>329</v>
      </c>
      <c r="F4" s="16" t="s">
        <v>325</v>
      </c>
      <c r="G4" s="18" t="s">
        <v>30</v>
      </c>
      <c r="H4" s="18"/>
    </row>
    <row r="5" ht="49.5" customHeight="1">
      <c r="A5" s="16" t="s">
        <v>330</v>
      </c>
      <c r="B5" s="16" t="s">
        <v>331</v>
      </c>
      <c r="C5" s="16" t="s">
        <v>48</v>
      </c>
      <c r="D5" s="16" t="s">
        <v>332</v>
      </c>
      <c r="E5" s="16" t="s">
        <v>333</v>
      </c>
      <c r="F5" s="16" t="s">
        <v>325</v>
      </c>
      <c r="G5" s="18" t="s">
        <v>30</v>
      </c>
      <c r="H5" s="18"/>
    </row>
    <row r="6" ht="49.5" customHeight="1">
      <c r="A6" s="16" t="s">
        <v>334</v>
      </c>
      <c r="B6" s="16" t="s">
        <v>335</v>
      </c>
      <c r="C6" s="16" t="s">
        <v>48</v>
      </c>
      <c r="D6" s="16" t="s">
        <v>336</v>
      </c>
      <c r="E6" s="16" t="s">
        <v>337</v>
      </c>
      <c r="F6" s="16" t="s">
        <v>325</v>
      </c>
      <c r="G6" s="18" t="s">
        <v>30</v>
      </c>
      <c r="H6" s="18"/>
    </row>
    <row r="7" ht="49.5" customHeight="1">
      <c r="A7" s="16" t="s">
        <v>338</v>
      </c>
      <c r="B7" s="17" t="s">
        <v>339</v>
      </c>
      <c r="C7" s="16" t="s">
        <v>48</v>
      </c>
      <c r="D7" s="16" t="s">
        <v>340</v>
      </c>
      <c r="E7" s="17" t="s">
        <v>341</v>
      </c>
      <c r="F7" s="16" t="s">
        <v>325</v>
      </c>
      <c r="G7" s="18" t="s">
        <v>91</v>
      </c>
      <c r="H7" s="18"/>
    </row>
    <row r="8" ht="49.5" customHeight="1">
      <c r="A8" s="16" t="s">
        <v>342</v>
      </c>
      <c r="B8" s="17" t="s">
        <v>343</v>
      </c>
      <c r="C8" s="16" t="s">
        <v>48</v>
      </c>
      <c r="D8" s="16" t="s">
        <v>344</v>
      </c>
      <c r="E8" s="17" t="s">
        <v>345</v>
      </c>
      <c r="F8" s="16" t="s">
        <v>325</v>
      </c>
      <c r="G8" s="18" t="s">
        <v>91</v>
      </c>
      <c r="H8" s="18"/>
    </row>
    <row r="9" ht="49.5" customHeight="1">
      <c r="A9" s="16" t="s">
        <v>346</v>
      </c>
      <c r="B9" s="16" t="s">
        <v>347</v>
      </c>
      <c r="C9" s="16" t="s">
        <v>48</v>
      </c>
      <c r="D9" s="16" t="s">
        <v>348</v>
      </c>
      <c r="E9" s="16" t="s">
        <v>349</v>
      </c>
      <c r="F9" s="16" t="s">
        <v>325</v>
      </c>
      <c r="G9" s="18" t="s">
        <v>91</v>
      </c>
      <c r="H9" s="18"/>
    </row>
    <row r="10" ht="49.5" customHeight="1">
      <c r="A10" s="16" t="s">
        <v>350</v>
      </c>
      <c r="B10" s="16" t="s">
        <v>351</v>
      </c>
      <c r="C10" s="16" t="s">
        <v>48</v>
      </c>
      <c r="D10" s="16" t="s">
        <v>352</v>
      </c>
      <c r="E10" s="16" t="s">
        <v>353</v>
      </c>
      <c r="F10" s="16" t="s">
        <v>325</v>
      </c>
      <c r="G10" s="18" t="s">
        <v>91</v>
      </c>
      <c r="H10" s="18"/>
    </row>
    <row r="11" ht="49.5" customHeight="1">
      <c r="A11" s="16" t="s">
        <v>354</v>
      </c>
      <c r="B11" s="17" t="s">
        <v>355</v>
      </c>
      <c r="C11" s="16" t="s">
        <v>356</v>
      </c>
      <c r="D11" s="17" t="s">
        <v>357</v>
      </c>
      <c r="E11" s="17" t="s">
        <v>358</v>
      </c>
      <c r="F11" s="16" t="s">
        <v>325</v>
      </c>
      <c r="G11" s="18" t="s">
        <v>30</v>
      </c>
      <c r="H11" s="18"/>
    </row>
    <row r="12" ht="49.5" customHeight="1">
      <c r="A12" s="16" t="s">
        <v>359</v>
      </c>
      <c r="B12" s="16" t="s">
        <v>360</v>
      </c>
      <c r="C12" s="16" t="s">
        <v>48</v>
      </c>
      <c r="D12" s="16" t="s">
        <v>361</v>
      </c>
      <c r="E12" s="16" t="s">
        <v>362</v>
      </c>
      <c r="F12" s="16" t="s">
        <v>325</v>
      </c>
      <c r="G12" s="18" t="s">
        <v>269</v>
      </c>
      <c r="H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H3:H12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2.0"/>
    <col customWidth="1" min="4" max="4" width="42.0"/>
    <col customWidth="1" min="5" max="5" width="38.0"/>
    <col customWidth="1" min="6" max="6" width="14.0"/>
    <col customWidth="1" min="7" max="7" width="9.0"/>
    <col customWidth="1" min="8" max="8" width="13.29"/>
    <col customWidth="1" min="9" max="25" width="8.71"/>
  </cols>
  <sheetData>
    <row r="1" ht="21.75" customHeight="1">
      <c r="A1" s="12" t="s">
        <v>363</v>
      </c>
      <c r="B1" s="13"/>
      <c r="C1" s="13"/>
      <c r="D1" s="13"/>
      <c r="E1" s="13"/>
      <c r="F1" s="13"/>
      <c r="G1" s="13"/>
      <c r="H1" s="14"/>
    </row>
    <row r="2" ht="36.0" customHeight="1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24</v>
      </c>
    </row>
    <row r="3" ht="50.25" customHeight="1">
      <c r="A3" s="16" t="s">
        <v>364</v>
      </c>
      <c r="B3" s="16" t="s">
        <v>365</v>
      </c>
      <c r="C3" s="16" t="s">
        <v>366</v>
      </c>
      <c r="D3" s="16" t="s">
        <v>367</v>
      </c>
      <c r="E3" s="16" t="s">
        <v>368</v>
      </c>
      <c r="F3" s="16" t="s">
        <v>369</v>
      </c>
      <c r="G3" s="18" t="s">
        <v>30</v>
      </c>
      <c r="H3" s="18"/>
    </row>
    <row r="4" ht="50.25" customHeight="1">
      <c r="A4" s="16" t="s">
        <v>370</v>
      </c>
      <c r="B4" s="16" t="s">
        <v>371</v>
      </c>
      <c r="C4" s="16" t="s">
        <v>48</v>
      </c>
      <c r="D4" s="16" t="s">
        <v>372</v>
      </c>
      <c r="E4" s="16" t="s">
        <v>373</v>
      </c>
      <c r="F4" s="16" t="s">
        <v>369</v>
      </c>
      <c r="G4" s="18" t="s">
        <v>91</v>
      </c>
      <c r="H4" s="18"/>
    </row>
    <row r="5" ht="50.25" customHeight="1">
      <c r="A5" s="16" t="s">
        <v>374</v>
      </c>
      <c r="B5" s="16" t="s">
        <v>375</v>
      </c>
      <c r="C5" s="16" t="s">
        <v>48</v>
      </c>
      <c r="D5" s="16" t="s">
        <v>376</v>
      </c>
      <c r="E5" s="16" t="s">
        <v>377</v>
      </c>
      <c r="F5" s="16" t="s">
        <v>378</v>
      </c>
      <c r="G5" s="18" t="s">
        <v>91</v>
      </c>
      <c r="H5" s="18"/>
    </row>
    <row r="6" ht="50.25" customHeight="1">
      <c r="A6" s="16" t="s">
        <v>379</v>
      </c>
      <c r="B6" s="17" t="s">
        <v>380</v>
      </c>
      <c r="C6" s="17" t="s">
        <v>381</v>
      </c>
      <c r="D6" s="16" t="s">
        <v>382</v>
      </c>
      <c r="E6" s="17" t="s">
        <v>383</v>
      </c>
      <c r="F6" s="16" t="s">
        <v>378</v>
      </c>
      <c r="G6" s="18" t="s">
        <v>91</v>
      </c>
      <c r="H6" s="18"/>
    </row>
    <row r="7" ht="50.25" customHeight="1">
      <c r="A7" s="16" t="s">
        <v>384</v>
      </c>
      <c r="B7" s="17" t="s">
        <v>385</v>
      </c>
      <c r="C7" s="16" t="s">
        <v>254</v>
      </c>
      <c r="D7" s="16" t="s">
        <v>386</v>
      </c>
      <c r="E7" s="17" t="s">
        <v>387</v>
      </c>
      <c r="F7" s="16" t="s">
        <v>378</v>
      </c>
      <c r="G7" s="18" t="s">
        <v>91</v>
      </c>
      <c r="H7" s="18"/>
    </row>
    <row r="8" ht="50.25" customHeight="1">
      <c r="A8" s="16" t="s">
        <v>388</v>
      </c>
      <c r="B8" s="16" t="s">
        <v>389</v>
      </c>
      <c r="C8" s="16" t="s">
        <v>48</v>
      </c>
      <c r="D8" s="16" t="s">
        <v>390</v>
      </c>
      <c r="E8" s="17" t="s">
        <v>391</v>
      </c>
      <c r="F8" s="16" t="s">
        <v>392</v>
      </c>
      <c r="G8" s="18" t="s">
        <v>91</v>
      </c>
      <c r="H8" s="18"/>
    </row>
    <row r="9" ht="50.25" customHeight="1">
      <c r="A9" s="16" t="s">
        <v>393</v>
      </c>
      <c r="B9" s="16" t="s">
        <v>394</v>
      </c>
      <c r="C9" s="16" t="s">
        <v>48</v>
      </c>
      <c r="D9" s="16" t="s">
        <v>395</v>
      </c>
      <c r="E9" s="16" t="s">
        <v>396</v>
      </c>
      <c r="F9" s="16" t="s">
        <v>378</v>
      </c>
      <c r="G9" s="18" t="s">
        <v>91</v>
      </c>
      <c r="H9" s="18"/>
    </row>
    <row r="10" ht="50.25" customHeight="1">
      <c r="A10" s="16" t="s">
        <v>397</v>
      </c>
      <c r="B10" s="16" t="s">
        <v>398</v>
      </c>
      <c r="C10" s="16" t="s">
        <v>399</v>
      </c>
      <c r="D10" s="16" t="s">
        <v>400</v>
      </c>
      <c r="E10" s="17" t="s">
        <v>401</v>
      </c>
      <c r="F10" s="16" t="s">
        <v>378</v>
      </c>
      <c r="G10" s="18" t="s">
        <v>91</v>
      </c>
      <c r="H10" s="18"/>
    </row>
    <row r="11" ht="50.25" customHeight="1">
      <c r="A11" s="16" t="s">
        <v>402</v>
      </c>
      <c r="B11" s="16" t="s">
        <v>403</v>
      </c>
      <c r="C11" s="16" t="s">
        <v>404</v>
      </c>
      <c r="D11" s="16" t="s">
        <v>405</v>
      </c>
      <c r="E11" s="16" t="s">
        <v>406</v>
      </c>
      <c r="F11" s="16" t="s">
        <v>378</v>
      </c>
      <c r="G11" s="18" t="s">
        <v>91</v>
      </c>
      <c r="H11" s="18"/>
    </row>
    <row r="12" ht="50.25" customHeight="1">
      <c r="A12" s="16" t="s">
        <v>407</v>
      </c>
      <c r="B12" s="16" t="s">
        <v>408</v>
      </c>
      <c r="C12" s="16" t="s">
        <v>409</v>
      </c>
      <c r="D12" s="16" t="s">
        <v>410</v>
      </c>
      <c r="E12" s="16" t="s">
        <v>411</v>
      </c>
      <c r="F12" s="16" t="s">
        <v>392</v>
      </c>
      <c r="G12" s="18" t="s">
        <v>269</v>
      </c>
      <c r="H12" s="18"/>
    </row>
    <row r="13" ht="50.25" customHeight="1">
      <c r="A13" s="16" t="s">
        <v>412</v>
      </c>
      <c r="B13" s="16" t="s">
        <v>413</v>
      </c>
      <c r="C13" s="16" t="s">
        <v>414</v>
      </c>
      <c r="D13" s="17" t="s">
        <v>415</v>
      </c>
      <c r="E13" s="16" t="s">
        <v>416</v>
      </c>
      <c r="F13" s="16" t="s">
        <v>392</v>
      </c>
      <c r="G13" s="18" t="s">
        <v>269</v>
      </c>
      <c r="H13" s="18"/>
    </row>
    <row r="14" ht="50.25" customHeight="1">
      <c r="A14" s="16" t="s">
        <v>417</v>
      </c>
      <c r="B14" s="16" t="s">
        <v>418</v>
      </c>
      <c r="C14" s="16" t="s">
        <v>419</v>
      </c>
      <c r="D14" s="16" t="s">
        <v>420</v>
      </c>
      <c r="E14" s="16" t="s">
        <v>421</v>
      </c>
      <c r="F14" s="16" t="s">
        <v>392</v>
      </c>
      <c r="G14" s="18" t="s">
        <v>269</v>
      </c>
      <c r="H14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H3:H14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2.0"/>
    <col customWidth="1" min="4" max="4" width="42.0"/>
    <col customWidth="1" min="5" max="5" width="38.0"/>
    <col customWidth="1" min="6" max="6" width="14.0"/>
    <col customWidth="1" min="7" max="7" width="9.0"/>
    <col customWidth="1" min="8" max="8" width="15.86"/>
    <col customWidth="1" min="9" max="25" width="8.71"/>
  </cols>
  <sheetData>
    <row r="1" ht="21.75" customHeight="1">
      <c r="A1" s="21" t="s">
        <v>422</v>
      </c>
      <c r="B1" s="13"/>
      <c r="C1" s="13"/>
      <c r="D1" s="13"/>
      <c r="E1" s="13"/>
      <c r="F1" s="13"/>
      <c r="G1" s="13"/>
      <c r="H1" s="14"/>
    </row>
    <row r="2" ht="36.0" customHeight="1">
      <c r="A2" s="22" t="s">
        <v>16</v>
      </c>
      <c r="B2" s="22" t="s">
        <v>17</v>
      </c>
      <c r="C2" s="22" t="s">
        <v>18</v>
      </c>
      <c r="D2" s="22" t="s">
        <v>19</v>
      </c>
      <c r="E2" s="22" t="s">
        <v>20</v>
      </c>
      <c r="F2" s="22" t="s">
        <v>21</v>
      </c>
      <c r="G2" s="22" t="s">
        <v>22</v>
      </c>
      <c r="H2" s="22" t="s">
        <v>24</v>
      </c>
    </row>
    <row r="3" ht="60.0" customHeight="1">
      <c r="A3" s="23" t="s">
        <v>423</v>
      </c>
      <c r="B3" s="23" t="s">
        <v>424</v>
      </c>
      <c r="C3" s="23" t="s">
        <v>425</v>
      </c>
      <c r="D3" s="23" t="s">
        <v>426</v>
      </c>
      <c r="E3" s="24" t="s">
        <v>427</v>
      </c>
      <c r="F3" s="23" t="s">
        <v>13</v>
      </c>
      <c r="G3" s="25" t="s">
        <v>30</v>
      </c>
      <c r="H3" s="18"/>
    </row>
    <row r="4" ht="60.0" customHeight="1">
      <c r="A4" s="23" t="s">
        <v>428</v>
      </c>
      <c r="B4" s="23" t="s">
        <v>429</v>
      </c>
      <c r="C4" s="23" t="s">
        <v>430</v>
      </c>
      <c r="D4" s="23" t="s">
        <v>431</v>
      </c>
      <c r="E4" s="23" t="s">
        <v>432</v>
      </c>
      <c r="F4" s="23" t="s">
        <v>13</v>
      </c>
      <c r="G4" s="25" t="s">
        <v>30</v>
      </c>
      <c r="H4" s="18"/>
    </row>
    <row r="5" ht="60.0" customHeight="1">
      <c r="A5" s="23" t="s">
        <v>433</v>
      </c>
      <c r="B5" s="23" t="s">
        <v>434</v>
      </c>
      <c r="C5" s="23" t="s">
        <v>435</v>
      </c>
      <c r="D5" s="23" t="s">
        <v>436</v>
      </c>
      <c r="E5" s="24" t="s">
        <v>437</v>
      </c>
      <c r="F5" s="23" t="s">
        <v>13</v>
      </c>
      <c r="G5" s="25" t="s">
        <v>30</v>
      </c>
      <c r="H5" s="18"/>
    </row>
    <row r="6" ht="60.0" customHeight="1">
      <c r="A6" s="23" t="s">
        <v>438</v>
      </c>
      <c r="B6" s="23" t="s">
        <v>439</v>
      </c>
      <c r="C6" s="23" t="s">
        <v>440</v>
      </c>
      <c r="D6" s="23" t="s">
        <v>441</v>
      </c>
      <c r="E6" s="23" t="s">
        <v>442</v>
      </c>
      <c r="F6" s="23" t="s">
        <v>13</v>
      </c>
      <c r="G6" s="25" t="s">
        <v>30</v>
      </c>
      <c r="H6" s="18"/>
    </row>
    <row r="7" ht="60.0" customHeight="1">
      <c r="A7" s="23" t="s">
        <v>443</v>
      </c>
      <c r="B7" s="23" t="s">
        <v>444</v>
      </c>
      <c r="C7" s="23" t="s">
        <v>445</v>
      </c>
      <c r="D7" s="23" t="s">
        <v>446</v>
      </c>
      <c r="E7" s="23" t="s">
        <v>447</v>
      </c>
      <c r="F7" s="23" t="s">
        <v>13</v>
      </c>
      <c r="G7" s="25" t="s">
        <v>30</v>
      </c>
      <c r="H7" s="18"/>
    </row>
    <row r="8" ht="60.0" customHeight="1">
      <c r="A8" s="23" t="s">
        <v>448</v>
      </c>
      <c r="B8" s="23" t="s">
        <v>449</v>
      </c>
      <c r="C8" s="23" t="s">
        <v>450</v>
      </c>
      <c r="D8" s="23" t="s">
        <v>451</v>
      </c>
      <c r="E8" s="23" t="s">
        <v>452</v>
      </c>
      <c r="F8" s="23" t="s">
        <v>13</v>
      </c>
      <c r="G8" s="25" t="s">
        <v>30</v>
      </c>
      <c r="H8" s="18"/>
    </row>
    <row r="9" ht="60.0" customHeight="1">
      <c r="A9" s="23" t="s">
        <v>453</v>
      </c>
      <c r="B9" s="23" t="s">
        <v>454</v>
      </c>
      <c r="C9" s="23" t="s">
        <v>455</v>
      </c>
      <c r="D9" s="23" t="s">
        <v>456</v>
      </c>
      <c r="E9" s="23" t="s">
        <v>457</v>
      </c>
      <c r="F9" s="23" t="s">
        <v>13</v>
      </c>
      <c r="G9" s="25" t="s">
        <v>91</v>
      </c>
      <c r="H9" s="18"/>
    </row>
    <row r="10" ht="60.0" customHeight="1">
      <c r="A10" s="23" t="s">
        <v>458</v>
      </c>
      <c r="B10" s="23" t="s">
        <v>459</v>
      </c>
      <c r="C10" s="23" t="s">
        <v>460</v>
      </c>
      <c r="D10" s="23" t="s">
        <v>461</v>
      </c>
      <c r="E10" s="23" t="s">
        <v>462</v>
      </c>
      <c r="F10" s="23" t="s">
        <v>13</v>
      </c>
      <c r="G10" s="25" t="s">
        <v>91</v>
      </c>
      <c r="H10" s="18"/>
    </row>
    <row r="11" ht="60.0" customHeight="1">
      <c r="A11" s="23" t="s">
        <v>463</v>
      </c>
      <c r="B11" s="23" t="s">
        <v>464</v>
      </c>
      <c r="C11" s="23" t="s">
        <v>455</v>
      </c>
      <c r="D11" s="23" t="s">
        <v>465</v>
      </c>
      <c r="E11" s="23" t="s">
        <v>466</v>
      </c>
      <c r="F11" s="23" t="s">
        <v>13</v>
      </c>
      <c r="G11" s="25" t="s">
        <v>91</v>
      </c>
      <c r="H11" s="18"/>
    </row>
    <row r="12" ht="60.0" customHeight="1">
      <c r="A12" s="23" t="s">
        <v>467</v>
      </c>
      <c r="B12" s="23" t="s">
        <v>468</v>
      </c>
      <c r="C12" s="23" t="s">
        <v>469</v>
      </c>
      <c r="D12" s="23" t="s">
        <v>470</v>
      </c>
      <c r="E12" s="24" t="s">
        <v>471</v>
      </c>
      <c r="F12" s="23" t="s">
        <v>13</v>
      </c>
      <c r="G12" s="25" t="s">
        <v>91</v>
      </c>
      <c r="H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H3:H12">
      <formula1>"Pass,Fail,Block"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2026-03-14T12:02:47Z</dcterms:created>
  <dc:creator>openpyxl</dc:creator>
</cp:coreProperties>
</file>